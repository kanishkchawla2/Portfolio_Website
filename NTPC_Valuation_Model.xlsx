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anishk\Desktop\NTPC Valuation\"/>
    </mc:Choice>
  </mc:AlternateContent>
  <xr:revisionPtr revIDLastSave="0" documentId="8_{658766F0-6189-40AE-8010-958DC1586597}" xr6:coauthVersionLast="47" xr6:coauthVersionMax="47" xr10:uidLastSave="{00000000-0000-0000-0000-000000000000}"/>
  <bookViews>
    <workbookView xWindow="-28920" yWindow="-120" windowWidth="29040" windowHeight="15840" tabRatio="500" activeTab="6" xr2:uid="{00000000-000D-0000-FFFF-FFFF00000000}"/>
  </bookViews>
  <sheets>
    <sheet name="Assumptions" sheetId="1" r:id="rId1"/>
    <sheet name="Historical PnL" sheetId="2" r:id="rId2"/>
    <sheet name="Historical BS" sheetId="3" r:id="rId3"/>
    <sheet name="Quarterly Data" sheetId="4" r:id="rId4"/>
    <sheet name="Comps Beta Table" sheetId="10" r:id="rId5"/>
    <sheet name="WACC " sheetId="11" r:id="rId6"/>
    <sheet name="DCF Model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5" l="1"/>
  <c r="C19" i="5"/>
  <c r="C20" i="5"/>
  <c r="C17" i="5"/>
  <c r="C24" i="5"/>
  <c r="D7" i="5"/>
  <c r="E7" i="5"/>
  <c r="F7" i="5"/>
  <c r="G7" i="5"/>
  <c r="H7" i="5"/>
  <c r="I7" i="5"/>
  <c r="C7" i="5"/>
  <c r="C6" i="5"/>
  <c r="D13" i="5"/>
  <c r="E13" i="5"/>
  <c r="F13" i="5"/>
  <c r="G13" i="5"/>
  <c r="H13" i="5"/>
  <c r="I13" i="5"/>
  <c r="C13" i="5"/>
  <c r="C31" i="11"/>
  <c r="C25" i="11"/>
  <c r="C24" i="11"/>
  <c r="C23" i="11"/>
  <c r="C19" i="11"/>
  <c r="C18" i="11"/>
  <c r="C13" i="11"/>
  <c r="C8" i="11"/>
  <c r="C7" i="11"/>
  <c r="C20" i="11"/>
  <c r="C22" i="10"/>
  <c r="C6" i="10"/>
  <c r="C23" i="10" s="1"/>
  <c r="E18" i="10"/>
  <c r="D18" i="10"/>
  <c r="E17" i="10"/>
  <c r="D17" i="10"/>
  <c r="G11" i="10"/>
  <c r="F12" i="10"/>
  <c r="C7" i="10"/>
  <c r="C15" i="1"/>
  <c r="D15" i="1"/>
  <c r="F15" i="1"/>
  <c r="G15" i="1"/>
  <c r="H15" i="1"/>
  <c r="I15" i="1"/>
  <c r="E15" i="1"/>
  <c r="I16" i="1"/>
  <c r="E3" i="5"/>
  <c r="F3" i="5" s="1"/>
  <c r="G3" i="5" s="1"/>
  <c r="H3" i="5" s="1"/>
  <c r="I3" i="5" s="1"/>
  <c r="D3" i="5"/>
  <c r="L22" i="2"/>
  <c r="C7" i="1"/>
  <c r="L14" i="4"/>
  <c r="K14" i="4"/>
  <c r="J14" i="4"/>
  <c r="I14" i="4"/>
  <c r="H14" i="4"/>
  <c r="G14" i="4"/>
  <c r="F14" i="4"/>
  <c r="E14" i="4"/>
  <c r="D14" i="4"/>
  <c r="C14" i="4"/>
  <c r="L7" i="4"/>
  <c r="K7" i="4"/>
  <c r="J7" i="4"/>
  <c r="I7" i="4"/>
  <c r="H7" i="4"/>
  <c r="G7" i="4"/>
  <c r="F7" i="4"/>
  <c r="E7" i="4"/>
  <c r="D7" i="4"/>
  <c r="C7" i="4"/>
  <c r="L25" i="3"/>
  <c r="K25" i="3"/>
  <c r="J25" i="3"/>
  <c r="I25" i="3"/>
  <c r="H25" i="3"/>
  <c r="G25" i="3"/>
  <c r="F25" i="3"/>
  <c r="E25" i="3"/>
  <c r="D25" i="3"/>
  <c r="C25" i="3"/>
  <c r="L24" i="3"/>
  <c r="K24" i="3"/>
  <c r="J24" i="3"/>
  <c r="I24" i="3"/>
  <c r="H24" i="3"/>
  <c r="G24" i="3"/>
  <c r="F24" i="3"/>
  <c r="E24" i="3"/>
  <c r="D24" i="3"/>
  <c r="C24" i="3"/>
  <c r="L23" i="3"/>
  <c r="K23" i="3"/>
  <c r="J23" i="3"/>
  <c r="I23" i="3"/>
  <c r="H23" i="3"/>
  <c r="G23" i="3"/>
  <c r="F23" i="3"/>
  <c r="E23" i="3"/>
  <c r="D23" i="3"/>
  <c r="C23" i="3"/>
  <c r="L20" i="3"/>
  <c r="K20" i="3"/>
  <c r="J20" i="3"/>
  <c r="I20" i="3"/>
  <c r="H20" i="3"/>
  <c r="G20" i="3"/>
  <c r="F20" i="3"/>
  <c r="E20" i="3"/>
  <c r="D20" i="3"/>
  <c r="C20" i="3"/>
  <c r="L7" i="3"/>
  <c r="K7" i="3"/>
  <c r="K9" i="3" s="1"/>
  <c r="J7" i="3"/>
  <c r="J9" i="3" s="1"/>
  <c r="I7" i="3"/>
  <c r="I9" i="3" s="1"/>
  <c r="H7" i="3"/>
  <c r="H9" i="3" s="1"/>
  <c r="G7" i="3"/>
  <c r="G9" i="3" s="1"/>
  <c r="F7" i="3"/>
  <c r="F9" i="3" s="1"/>
  <c r="E7" i="3"/>
  <c r="E9" i="3" s="1"/>
  <c r="D7" i="3"/>
  <c r="D9" i="3" s="1"/>
  <c r="C7" i="3"/>
  <c r="C9" i="3" s="1"/>
  <c r="L24" i="2"/>
  <c r="K24" i="2"/>
  <c r="J24" i="2"/>
  <c r="I24" i="2"/>
  <c r="H24" i="2"/>
  <c r="G24" i="2"/>
  <c r="F24" i="2"/>
  <c r="E24" i="2"/>
  <c r="D24" i="2"/>
  <c r="C24" i="2"/>
  <c r="L23" i="2"/>
  <c r="K23" i="2"/>
  <c r="J23" i="2"/>
  <c r="I23" i="2"/>
  <c r="H23" i="2"/>
  <c r="G23" i="2"/>
  <c r="F23" i="2"/>
  <c r="E23" i="2"/>
  <c r="D23" i="2"/>
  <c r="C23" i="2"/>
  <c r="K22" i="2"/>
  <c r="J22" i="2"/>
  <c r="I22" i="2"/>
  <c r="H22" i="2"/>
  <c r="G22" i="2"/>
  <c r="F22" i="2"/>
  <c r="E22" i="2"/>
  <c r="D22" i="2"/>
  <c r="C22" i="2"/>
  <c r="L20" i="2"/>
  <c r="K20" i="2"/>
  <c r="J20" i="2"/>
  <c r="I20" i="2"/>
  <c r="H20" i="2"/>
  <c r="G20" i="2"/>
  <c r="F20" i="2"/>
  <c r="E20" i="2"/>
  <c r="D20" i="2"/>
  <c r="L10" i="2"/>
  <c r="L21" i="2" s="1"/>
  <c r="K10" i="2"/>
  <c r="K21" i="2" s="1"/>
  <c r="J10" i="2"/>
  <c r="J21" i="2" s="1"/>
  <c r="I10" i="2"/>
  <c r="I21" i="2" s="1"/>
  <c r="H10" i="2"/>
  <c r="H21" i="2" s="1"/>
  <c r="G10" i="2"/>
  <c r="G21" i="2" s="1"/>
  <c r="F10" i="2"/>
  <c r="F21" i="2" s="1"/>
  <c r="E10" i="2"/>
  <c r="E21" i="2" s="1"/>
  <c r="D10" i="2"/>
  <c r="D21" i="2" s="1"/>
  <c r="C10" i="2"/>
  <c r="C21" i="2" s="1"/>
  <c r="C8" i="5" l="1"/>
  <c r="C9" i="5"/>
  <c r="C30" i="11"/>
  <c r="G12" i="10"/>
  <c r="F13" i="10"/>
  <c r="L9" i="3"/>
  <c r="C14" i="5" l="1"/>
  <c r="D5" i="5"/>
  <c r="G13" i="10"/>
  <c r="F14" i="10"/>
  <c r="D6" i="5" l="1"/>
  <c r="D8" i="5" s="1"/>
  <c r="D9" i="5"/>
  <c r="G14" i="10"/>
  <c r="F15" i="10"/>
  <c r="F17" i="10"/>
  <c r="E5" i="5" l="1"/>
  <c r="D14" i="5"/>
  <c r="G15" i="10"/>
  <c r="F18" i="10"/>
  <c r="E9" i="5" l="1"/>
  <c r="E6" i="5"/>
  <c r="E8" i="5" s="1"/>
  <c r="G18" i="10"/>
  <c r="C21" i="10" s="1"/>
  <c r="C24" i="10" s="1"/>
  <c r="G17" i="10"/>
  <c r="F5" i="5" l="1"/>
  <c r="E14" i="5"/>
  <c r="F9" i="5" l="1"/>
  <c r="F6" i="5"/>
  <c r="F8" i="5" s="1"/>
  <c r="G5" i="5" l="1"/>
  <c r="F14" i="5"/>
  <c r="G9" i="5" l="1"/>
  <c r="G6" i="5"/>
  <c r="G8" i="5" s="1"/>
  <c r="H5" i="5" l="1"/>
  <c r="G14" i="5"/>
  <c r="H9" i="5" l="1"/>
  <c r="H6" i="5"/>
  <c r="H8" i="5" s="1"/>
  <c r="I5" i="5" l="1"/>
  <c r="H14" i="5"/>
  <c r="I9" i="5" l="1"/>
  <c r="I14" i="5" s="1"/>
  <c r="C25" i="5" s="1"/>
  <c r="C26" i="5" s="1"/>
  <c r="C28" i="5" s="1"/>
  <c r="I6" i="5"/>
  <c r="I8" i="5" s="1"/>
  <c r="C30" i="5" l="1"/>
</calcChain>
</file>

<file path=xl/sharedStrings.xml><?xml version="1.0" encoding="utf-8"?>
<sst xmlns="http://schemas.openxmlformats.org/spreadsheetml/2006/main" count="238" uniqueCount="212">
  <si>
    <t>NTPC LIMITED — Valuation Model  |  Assumptions &amp; Inputs</t>
  </si>
  <si>
    <t>Parameter</t>
  </si>
  <si>
    <t>Value</t>
  </si>
  <si>
    <t>Notes / Source</t>
  </si>
  <si>
    <t>Allowed ROE — Thermal (existing &amp; new)</t>
  </si>
  <si>
    <t>CERC 2024-29, Regulation 15; unchanged 3 consecutive control periods</t>
  </si>
  <si>
    <t>Normative Debt Fraction (70:30 rule)</t>
  </si>
  <si>
    <t>CERC mandates 70% debt, 30% equity in project capital structure</t>
  </si>
  <si>
    <t>Normative Equity Fraction</t>
  </si>
  <si>
    <t>Formula: 1 − Debt Fraction</t>
  </si>
  <si>
    <t>Standalone Reg. Equity Dec-2025 (₹ Cr)</t>
  </si>
  <si>
    <t>Source: NTPC Q3 FY26 Earnings Call, 30-Jan-2026, Director Finance</t>
  </si>
  <si>
    <t>Consolidated Reg. Equity Dec-2025 (₹ Cr)</t>
  </si>
  <si>
    <t>CERC Control Period End</t>
  </si>
  <si>
    <t>Mar-2029</t>
  </si>
  <si>
    <t>Current active period; next review expected ~2028-29</t>
  </si>
  <si>
    <t>Terminal Growth Rate (g)</t>
  </si>
  <si>
    <t>Shares Outstanding (Crore)</t>
  </si>
  <si>
    <t>Parameter (₹ Crore unless stated)</t>
  </si>
  <si>
    <t>FY27</t>
  </si>
  <si>
    <t>FY28</t>
  </si>
  <si>
    <t>FY29</t>
  </si>
  <si>
    <t>FY30</t>
  </si>
  <si>
    <t>FY31</t>
  </si>
  <si>
    <t>Gross Group Capex (₹ Cr)</t>
  </si>
  <si>
    <t>Note: Equity Capex = Gross Capex × 30% per CERC 70:30 normative structure. Gross capex annualised from 9M FY26 group capex of ₹33,466 Cr (rate ≈ ₹44,600 Cr/yr). Renewable targets per NGEL management: 5GW FY26, 8GW each FY27 &amp; FY28.</t>
  </si>
  <si>
    <t>NTPC LIMITED — Historical Profit &amp; Loss  |  INR Crore  |  FY2016–FY2025</t>
  </si>
  <si>
    <t>(INR Crore)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</si>
  <si>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</si>
  <si>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</si>
  <si>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</si>
  <si>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</si>
  <si>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</si>
  <si>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</si>
  <si>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</si>
  <si>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</si>
  <si>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</si>
  <si>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FY25</t>
  </si>
  <si>
    <t>INCOME STATEMENT</t>
  </si>
  <si>
    <t>Revenue from Operations</t>
  </si>
  <si>
    <t>Power &amp; Fuel Cost</t>
  </si>
  <si>
    <t>Employee Cost</t>
  </si>
  <si>
    <t>Selling &amp; Other Expenses</t>
  </si>
  <si>
    <t>Other Expenses / (Income) — net</t>
  </si>
  <si>
    <t>Operating Profit (EBIT)</t>
  </si>
  <si>
    <t>Other Income</t>
  </si>
  <si>
    <t>Depreciation</t>
  </si>
  <si>
    <t>Finance Costs (Interest)</t>
  </si>
  <si>
    <t>Profit Before Tax</t>
  </si>
  <si>
    <t>Tax (incl. deferred)</t>
  </si>
  <si>
    <t>NET PROFIT (PAT)</t>
  </si>
  <si>
    <t>Dividend Paid</t>
  </si>
  <si>
    <t>Revenue Growth (YoY %)</t>
  </si>
  <si>
    <t>"-"</t>
  </si>
  <si>
    <t>Operating Margin (%)</t>
  </si>
  <si>
    <t>Net Profit Margin (%)</t>
  </si>
  <si>
    <t>Return on Equity (%)</t>
  </si>
  <si>
    <t>Dividend Payout (%)</t>
  </si>
  <si>
    <t>NTPC LIMITED — Balance Sheet &amp; Cash Flow  |  INR Crore  |  FY2016–FY2025</t>
  </si>
  <si>
    <t>EQUITY &amp; LIABILITIES</t>
  </si>
  <si>
    <t>Share Capital</t>
  </si>
  <si>
    <t>Reserves &amp; Surplus</t>
  </si>
  <si>
    <t>Total Equity</t>
  </si>
  <si>
    <t>Total Borrowings (Debt)</t>
  </si>
  <si>
    <t>Debt / Equity (x)</t>
  </si>
  <si>
    <t>ASSETS</t>
  </si>
  <si>
    <t>Net Fixed Assets</t>
  </si>
  <si>
    <t>Capital Work-in-Progress</t>
  </si>
  <si>
    <t>Trade Receivables (Debtors)</t>
  </si>
  <si>
    <t>Cash &amp; Cash Equivalents</t>
  </si>
  <si>
    <t>CASH FLOW STATEMENT</t>
  </si>
  <si>
    <t>Cash from Operations (CFO)</t>
  </si>
  <si>
    <t>Cash from Investing (CFI)</t>
  </si>
  <si>
    <t>Cash from Financing (CFF)</t>
  </si>
  <si>
    <t>Net Change in Cash</t>
  </si>
  <si>
    <t>DERIVED RATIOS</t>
  </si>
  <si>
    <t>Debtor Days</t>
  </si>
  <si>
    <t>Interest Coverage (x)</t>
  </si>
  <si>
    <t>CFO / PAT (earnings quality)</t>
  </si>
  <si>
    <t>NTPC LIMITED — Quarterly Performance  |  INR Crore  |  Q2 FY24 – Q3 FY26</t>
  </si>
  <si>
    <t>Q2 FY24</t>
  </si>
  <si>
    <t>Q3 FY24</t>
  </si>
  <si>
    <t>Q4 FY24</t>
  </si>
  <si>
    <t>Q1 FY25</t>
  </si>
  <si>
    <t>Q2 FY25</t>
  </si>
  <si>
    <t>Q3 FY25</t>
  </si>
  <si>
    <t>Q4 FY25</t>
  </si>
  <si>
    <t>Q1 FY26</t>
  </si>
  <si>
    <t>Q2 FY26</t>
  </si>
  <si>
    <t>Q3 FY26</t>
  </si>
  <si>
    <t>QUARTERLY INCOME STATEMENT</t>
  </si>
  <si>
    <t>Total Expenses</t>
  </si>
  <si>
    <t>Finance Costs</t>
  </si>
  <si>
    <t>Tax</t>
  </si>
  <si>
    <t>PAT Margin (%)</t>
  </si>
  <si>
    <t>REGULATORY EQUITY FCFE MODEL — NTPC CONSOLIDATED  |  INR Crore</t>
  </si>
  <si>
    <t xml:space="preserve">  Methodology: FCFE = Net Income − Equity Capex  |  Net Income = Allowed ROE × Regulatory Equity  |  Equity Capex = 30% × Gross Capex per CERC 70:30 rule</t>
  </si>
  <si>
    <t>Parameter (INR Crore unless stated)</t>
  </si>
  <si>
    <t>REGULATORY EQUITY BRIDGE</t>
  </si>
  <si>
    <t>Opening Regulatory Equity Base</t>
  </si>
  <si>
    <t>Net Income  (= Allowed ROE × Opening Equity)</t>
  </si>
  <si>
    <t>Less: Equity Capex  (30% × Gross Capex)</t>
  </si>
  <si>
    <t>FCFE  (= Net Income − Equity Capex)</t>
  </si>
  <si>
    <t>Closing Regulatory Equity Base</t>
  </si>
  <si>
    <t>DISCOUNTING  @  Cost of Equity</t>
  </si>
  <si>
    <t>Year Number</t>
  </si>
  <si>
    <t>Discount Factor  1/(1+CoE)^n</t>
  </si>
  <si>
    <t>PV of FCFE</t>
  </si>
  <si>
    <t>TERMINAL VALUE  (Gordon Growth Model)</t>
  </si>
  <si>
    <t>Terminal Value  (= FCFE_Y6 / (CoE − g))</t>
  </si>
  <si>
    <t>PV of Terminal Value  (discounted back 5 yrs)</t>
  </si>
  <si>
    <t>EQUITY VALUATION SUMMARY</t>
  </si>
  <si>
    <t>Sum of PV of Explicit Period FCFE (FY27–FY31)</t>
  </si>
  <si>
    <t>PV of Terminal Value</t>
  </si>
  <si>
    <t>TOTAL EQUITY VALUE (INR Crore)</t>
  </si>
  <si>
    <t>INTRINSIC VALUE PER SHARE (INR)</t>
  </si>
  <si>
    <t>Current Market Price (INR)</t>
  </si>
  <si>
    <t>Margin of Safety / (Premium to Market)</t>
  </si>
  <si>
    <t>REGULATORY PARAMETERS  (Source: CERC Tariff Regulations 2024-29)</t>
  </si>
  <si>
    <t>#</t>
  </si>
  <si>
    <t>CAPEX &amp; CAPACITY PLAN FY27–FY31  (Source: Q3 FY26 Earnings Call, NTPC management guidance)</t>
  </si>
  <si>
    <t>FY32</t>
  </si>
  <si>
    <t>RATIOS</t>
  </si>
  <si>
    <t>FY26A</t>
  </si>
  <si>
    <t>Equity Capex</t>
  </si>
  <si>
    <t>Guidance of group level capex of 55920 cr in FY26, 97363 in FY27 , 112172 cr in FY28 and to reach 149GW of total capcity by FY32 a cumilative expanditure of 7L cr Is required. Assumed Equal amount of capex from fy29-32</t>
  </si>
  <si>
    <t>Assumptions</t>
  </si>
  <si>
    <t>0.3* Gross Capex (CERC Mandate)</t>
  </si>
  <si>
    <t xml:space="preserve">Weighted Avg Interest Rate </t>
  </si>
  <si>
    <t>Hamada: βL = βU × [1 + (1−t) × D/E]</t>
  </si>
  <si>
    <t>Relevered Beta (Target)</t>
  </si>
  <si>
    <t>From assumptions</t>
  </si>
  <si>
    <t>Target D/E Ratio</t>
  </si>
  <si>
    <t>Target Tax Rate</t>
  </si>
  <si>
    <t>Weighted avg unlevered beta from comps</t>
  </si>
  <si>
    <t>Selected Unlevered Beta</t>
  </si>
  <si>
    <t>TARGET COMPANY BETA OUTPUT</t>
  </si>
  <si>
    <t>Median</t>
  </si>
  <si>
    <t>Mean</t>
  </si>
  <si>
    <t>Unlevered Beta
(Hamada)</t>
  </si>
  <si>
    <t>Tax Rate</t>
  </si>
  <si>
    <t>D/E Ratio
(Net)</t>
  </si>
  <si>
    <t>Levered Beta
(Raw)</t>
  </si>
  <si>
    <t>Ticker</t>
  </si>
  <si>
    <t>Company</t>
  </si>
  <si>
    <t>Hamada assumption</t>
  </si>
  <si>
    <t>Assume Debt Beta = 0</t>
  </si>
  <si>
    <t>used for relevering</t>
  </si>
  <si>
    <t>Target Company Assumptions</t>
  </si>
  <si>
    <t>COMPARABLE COMPANY BETA ANALYSIS — LEVERED / UNLEVERED / RELEVERED</t>
  </si>
  <si>
    <t>NTPC.NS</t>
  </si>
  <si>
    <t>NTPC Limited</t>
  </si>
  <si>
    <t>NHPC.NS</t>
  </si>
  <si>
    <t>NHPC Limited</t>
  </si>
  <si>
    <t>SJVN.NS</t>
  </si>
  <si>
    <t>SJVN Limited</t>
  </si>
  <si>
    <t>TATAPOWER.NS</t>
  </si>
  <si>
    <t>Tata Power Company Limited</t>
  </si>
  <si>
    <t>ADANIPOWER.NS</t>
  </si>
  <si>
    <t>Adani Power Limited</t>
  </si>
  <si>
    <t xml:space="preserve">  NTPC's allowed ROE of 15.5% well exceeds its ~9.7% WACC — every new rupee of regulated equity commissioned creates ~5.8% of incremental value annually.</t>
  </si>
  <si>
    <t>Spread x Regulated Equity (Rs. Cr/year)</t>
  </si>
  <si>
    <t>Annual Economic Profit (Rs. Cr)</t>
  </si>
  <si>
    <t>Positive = value created above cost of capital</t>
  </si>
  <si>
    <t>ROE − WACC Spread</t>
  </si>
  <si>
    <t>Rs.94,415 Cr as at Dec 31, 2025; Q3 FY26 concall</t>
  </si>
  <si>
    <t>Standalone Regulated Equity</t>
  </si>
  <si>
    <t>15.5% on normative equity; CERC 2024-29 tariff order</t>
  </si>
  <si>
    <t>CERC Allowed ROE</t>
  </si>
  <si>
    <t>How NTPC's allowed return compares to WACC</t>
  </si>
  <si>
    <t>CERC REGULATORY CHECK</t>
  </si>
  <si>
    <t>We x Ke + Wd x Kd(1-T)</t>
  </si>
  <si>
    <t>══  WACC</t>
  </si>
  <si>
    <t>Weight of Debt x After-Tax Kd</t>
  </si>
  <si>
    <t>Debt Contribution (Wd × Kd)</t>
  </si>
  <si>
    <t>Weight of Equity x Ke</t>
  </si>
  <si>
    <t>Equity Contribution (We × Ke)</t>
  </si>
  <si>
    <t>WACC = We × Ke + Wd × Kd(1−T)</t>
  </si>
  <si>
    <t>WACC</t>
  </si>
  <si>
    <t>Debt / Total Capital</t>
  </si>
  <si>
    <t>Weight of Debt (Wd)</t>
  </si>
  <si>
    <t>Equity / Total Capital</t>
  </si>
  <si>
    <t>Weight of Equity (We)</t>
  </si>
  <si>
    <t>Equity + Debt</t>
  </si>
  <si>
    <t>Total Capital</t>
  </si>
  <si>
    <t>FY25 standalone borrowings (approx. book); Screener.in</t>
  </si>
  <si>
    <t>Market Value of Debt</t>
  </si>
  <si>
    <t>Rs.381.9/share × 969.67 Cr shares; NSE Mar 2026</t>
  </si>
  <si>
    <t>Market Value of Equity</t>
  </si>
  <si>
    <t>Market value weights</t>
  </si>
  <si>
    <t>CAPITAL STRUCTURE</t>
  </si>
  <si>
    <t>Pre-tax Rate x (1 minus Tax Rate)</t>
  </si>
  <si>
    <t>→  After-Tax Cost of Debt (Kd)</t>
  </si>
  <si>
    <t>FY25: Tax / PBT = 25.6%; Screener.in</t>
  </si>
  <si>
    <t>WAIR 6.05% per Q3 FY26 concall</t>
  </si>
  <si>
    <t>Pre-Tax Interest Rate</t>
  </si>
  <si>
    <t>After-tax: Kd = Pre-tax Rate × (1 − Tax Rate)</t>
  </si>
  <si>
    <t>COST OF DEBT (Kd)</t>
  </si>
  <si>
    <t>Rf + Beta x ERP</t>
  </si>
  <si>
    <t>→  Cost of Equity (Ke)</t>
  </si>
  <si>
    <t>5-yr monthly vs Nifty 50; Bloomberg</t>
  </si>
  <si>
    <t>Beta (β)</t>
  </si>
  <si>
    <t>India ERP; Damodaran Jan 2026</t>
  </si>
  <si>
    <t>Equity Risk Premium (ERP)</t>
  </si>
  <si>
    <t>10-yr GoI G-Sec yield; RBI Feb 2026</t>
  </si>
  <si>
    <t>Risk-Free Rate (Rf)</t>
  </si>
  <si>
    <t>CAPM: Ke = Rf + β × ERP</t>
  </si>
  <si>
    <t>COST OF EQUITY (Ke)</t>
  </si>
  <si>
    <t>Blue = input you can change   |   Black = formula (auto-calculated)</t>
  </si>
  <si>
    <t>NTPC LIMITED — WACC MODEL</t>
  </si>
  <si>
    <t>FCFE in Year 8  (= FCFE_Y5 × (1+g))</t>
  </si>
  <si>
    <t>Cost of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</si>
</sst>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;\(0.0%\);\-"/>
    <numFmt numFmtId="165" formatCode="#,##0;\(#,##0\);\-"/>
    <numFmt numFmtId="166" formatCode="0.0\x"/>
    <numFmt numFmtId="167" formatCode="0.0&quot; days&quot;"/>
    <numFmt numFmtId="168" formatCode="0.0000"/>
    <numFmt numFmtId="169" formatCode="0.0%"/>
    <numFmt numFmtId="170" formatCode="&quot;FY&quot;\-yy&quot;A&quot;"/>
    <numFmt numFmtId="172" formatCode="&quot;FY&quot;\-yy&quot;E&quot;"/>
    <numFmt numFmtId="175" formatCode="0.00\x"/>
  </numFmts>
  <fonts count="35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i/>
      <sz val="8"/>
      <color rgb="FF333333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0000FF"/>
      <name val="Arial"/>
      <family val="2"/>
    </font>
    <font>
      <i/>
      <sz val="8"/>
      <color rgb="FF444444"/>
      <name val="Arial"/>
      <family val="2"/>
    </font>
    <font>
      <b/>
      <sz val="11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8000"/>
      <name val="Arial"/>
      <family val="2"/>
    </font>
    <font>
      <b/>
      <sz val="10"/>
      <color rgb="FFFFFFFF"/>
      <name val="Arial"/>
      <family val="2"/>
    </font>
    <font>
      <b/>
      <sz val="9"/>
      <color rgb="FF1F5C2E"/>
      <name val="Arial"/>
      <family val="2"/>
    </font>
    <font>
      <b/>
      <sz val="10"/>
      <color rgb="FF000000"/>
      <name val="Arial"/>
      <family val="2"/>
    </font>
    <font>
      <b/>
      <sz val="10"/>
      <color rgb="FF1F5C2E"/>
      <name val="Arial"/>
      <family val="2"/>
    </font>
    <font>
      <b/>
      <sz val="9"/>
      <color rgb="FF2E75B6"/>
      <name val="Arial"/>
      <family val="2"/>
    </font>
    <font>
      <b/>
      <sz val="12"/>
      <color rgb="FF000000"/>
      <name val="Arial"/>
      <family val="2"/>
    </font>
    <font>
      <b/>
      <sz val="12"/>
      <color rgb="FF1F5C2E"/>
      <name val="Arial"/>
      <family val="2"/>
    </font>
    <font>
      <b/>
      <sz val="9"/>
      <color theme="0"/>
      <name val="Arial"/>
      <family val="2"/>
    </font>
    <font>
      <b/>
      <i/>
      <sz val="8"/>
      <color rgb="FF444444"/>
      <name val="Arial"/>
      <family val="2"/>
    </font>
    <font>
      <sz val="8"/>
      <name val="Calibri"/>
      <family val="2"/>
      <charset val="1"/>
    </font>
    <font>
      <b/>
      <sz val="11"/>
      <color theme="0"/>
      <name val="Arial"/>
      <family val="2"/>
    </font>
    <font>
      <i/>
      <sz val="8"/>
      <color rgb="FF595959"/>
      <name val="Arial"/>
      <family val="2"/>
    </font>
    <font>
      <b/>
      <sz val="9"/>
      <color rgb="FF1F3864"/>
      <name val="Arial"/>
      <family val="2"/>
    </font>
    <font>
      <b/>
      <sz val="9"/>
      <color rgb="FF2F5496"/>
      <name val="Arial"/>
      <family val="2"/>
    </font>
    <font>
      <i/>
      <sz val="9"/>
      <color rgb="FF1B4F8A"/>
      <name val="Arial"/>
      <family val="2"/>
    </font>
    <font>
      <i/>
      <sz val="9"/>
      <color rgb="FF5A5A5A"/>
      <name val="Arial"/>
      <family val="2"/>
    </font>
    <font>
      <sz val="10"/>
      <color rgb="FF000000"/>
      <name val="Arial"/>
      <family val="2"/>
    </font>
    <font>
      <b/>
      <sz val="10"/>
      <color rgb="FF0000FF"/>
      <name val="Arial"/>
      <family val="2"/>
    </font>
    <font>
      <i/>
      <sz val="9"/>
      <color rgb="FFAAAADD"/>
      <name val="Arial"/>
      <family val="2"/>
    </font>
    <font>
      <b/>
      <sz val="13"/>
      <color rgb="FF1B4F8A"/>
      <name val="Arial"/>
      <family val="2"/>
    </font>
    <font>
      <b/>
      <sz val="11"/>
      <color rgb="FF1B4F8A"/>
      <name val="Arial"/>
      <family val="2"/>
    </font>
    <font>
      <b/>
      <sz val="15"/>
      <color rgb="FFFFFFFF"/>
      <name val="Arial"/>
      <family val="2"/>
    </font>
    <font>
      <b/>
      <sz val="9"/>
      <color rgb="FF0000FF"/>
      <name val="Arial"/>
      <family val="2"/>
    </font>
    <font>
      <b/>
      <sz val="9"/>
      <color rgb="FF008000"/>
      <name val="Arial"/>
      <family val="2"/>
    </font>
    <font>
      <b/>
      <sz val="11"/>
      <color theme="1"/>
      <name val="Calibri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002060"/>
        <bgColor rgb="FF333333"/>
      </patternFill>
    </fill>
    <fill>
      <patternFill patternType="solid">
        <fgColor rgb="FF002060"/>
        <bgColor rgb="FF0066CC"/>
      </patternFill>
    </fill>
    <fill>
      <patternFill patternType="solid">
        <fgColor theme="0"/>
        <bgColor rgb="FFF2F2F2"/>
      </patternFill>
    </fill>
    <fill>
      <patternFill patternType="solid">
        <fgColor rgb="FF002060"/>
        <bgColor rgb="FFF2F2F2"/>
      </patternFill>
    </fill>
    <fill>
      <patternFill patternType="solid">
        <fgColor rgb="FFEBF3FA"/>
        <bgColor rgb="FFF2F2F2"/>
      </patternFill>
    </fill>
    <fill>
      <patternFill patternType="solid">
        <fgColor rgb="FFD6E4F0"/>
        <bgColor rgb="FFEBF3FA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333333"/>
      </patternFill>
    </fill>
    <fill>
      <patternFill patternType="solid">
        <fgColor rgb="FFD6E4F7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1B4F8A"/>
        <bgColor rgb="FF0066CC"/>
      </patternFill>
    </fill>
    <fill>
      <patternFill patternType="solid">
        <fgColor rgb="FF0D2B52"/>
        <bgColor rgb="FF333333"/>
      </patternFill>
    </fill>
    <fill>
      <patternFill patternType="solid">
        <fgColor theme="3"/>
        <bgColor rgb="FF0066CC"/>
      </patternFill>
    </fill>
  </fills>
  <borders count="12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164" fontId="5" fillId="6" borderId="2" xfId="0" applyNumberFormat="1" applyFont="1" applyFill="1" applyBorder="1" applyAlignment="1">
      <alignment horizontal="right" vertical="center"/>
    </xf>
    <xf numFmtId="165" fontId="5" fillId="5" borderId="2" xfId="0" applyNumberFormat="1" applyFont="1" applyFill="1" applyBorder="1" applyAlignment="1">
      <alignment horizontal="right" vertical="center"/>
    </xf>
    <xf numFmtId="165" fontId="4" fillId="6" borderId="2" xfId="0" applyNumberFormat="1" applyFont="1" applyFill="1" applyBorder="1" applyAlignment="1">
      <alignment horizontal="right" vertical="center"/>
    </xf>
    <xf numFmtId="0" fontId="8" fillId="8" borderId="2" xfId="0" applyFont="1" applyFill="1" applyBorder="1" applyAlignment="1">
      <alignment horizontal="left" vertical="center"/>
    </xf>
    <xf numFmtId="0" fontId="8" fillId="9" borderId="2" xfId="0" applyFont="1" applyFill="1" applyBorder="1" applyAlignment="1">
      <alignment horizontal="left" vertical="center"/>
    </xf>
    <xf numFmtId="165" fontId="8" fillId="8" borderId="2" xfId="0" applyNumberFormat="1" applyFont="1" applyFill="1" applyBorder="1" applyAlignment="1">
      <alignment horizontal="right" vertical="center"/>
    </xf>
    <xf numFmtId="0" fontId="8" fillId="6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165" fontId="9" fillId="3" borderId="2" xfId="0" applyNumberFormat="1" applyFont="1" applyFill="1" applyBorder="1" applyAlignment="1">
      <alignment horizontal="right" vertical="center"/>
    </xf>
    <xf numFmtId="165" fontId="11" fillId="9" borderId="2" xfId="0" applyNumberFormat="1" applyFont="1" applyFill="1" applyBorder="1" applyAlignment="1">
      <alignment horizontal="right" vertical="center"/>
    </xf>
    <xf numFmtId="165" fontId="9" fillId="6" borderId="2" xfId="0" applyNumberFormat="1" applyFont="1" applyFill="1" applyBorder="1" applyAlignment="1">
      <alignment horizontal="right" vertical="center"/>
    </xf>
    <xf numFmtId="0" fontId="12" fillId="9" borderId="2" xfId="0" applyFont="1" applyFill="1" applyBorder="1" applyAlignment="1">
      <alignment horizontal="left" vertical="center"/>
    </xf>
    <xf numFmtId="165" fontId="13" fillId="9" borderId="2" xfId="0" applyNumberFormat="1" applyFont="1" applyFill="1" applyBorder="1" applyAlignment="1">
      <alignment horizontal="right" vertical="center"/>
    </xf>
    <xf numFmtId="1" fontId="5" fillId="6" borderId="2" xfId="0" applyNumberFormat="1" applyFont="1" applyFill="1" applyBorder="1" applyAlignment="1">
      <alignment horizontal="right" vertical="center"/>
    </xf>
    <xf numFmtId="168" fontId="4" fillId="5" borderId="2" xfId="0" applyNumberFormat="1" applyFont="1" applyFill="1" applyBorder="1" applyAlignment="1">
      <alignment horizontal="right" vertical="center"/>
    </xf>
    <xf numFmtId="165" fontId="14" fillId="8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1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11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left" vertical="center"/>
    </xf>
    <xf numFmtId="164" fontId="5" fillId="12" borderId="2" xfId="0" applyNumberFormat="1" applyFont="1" applyFill="1" applyBorder="1" applyAlignment="1">
      <alignment horizontal="right" vertical="center"/>
    </xf>
    <xf numFmtId="164" fontId="4" fillId="12" borderId="2" xfId="0" applyNumberFormat="1" applyFont="1" applyFill="1" applyBorder="1" applyAlignment="1">
      <alignment horizontal="right" vertical="center"/>
    </xf>
    <xf numFmtId="165" fontId="5" fillId="12" borderId="2" xfId="0" applyNumberFormat="1" applyFont="1" applyFill="1" applyBorder="1" applyAlignment="1">
      <alignment horizontal="right" vertical="center"/>
    </xf>
    <xf numFmtId="0" fontId="5" fillId="12" borderId="2" xfId="0" applyFont="1" applyFill="1" applyBorder="1" applyAlignment="1">
      <alignment horizontal="right" vertical="center"/>
    </xf>
    <xf numFmtId="0" fontId="8" fillId="12" borderId="2" xfId="0" applyFont="1" applyFill="1" applyBorder="1" applyAlignment="1">
      <alignment horizontal="left" vertical="center"/>
    </xf>
    <xf numFmtId="0" fontId="18" fillId="12" borderId="2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5" xfId="0" applyFont="1" applyFill="1" applyBorder="1" applyAlignment="1">
      <alignment horizontal="left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20" fillId="10" borderId="0" xfId="0" applyFont="1" applyFill="1" applyAlignment="1">
      <alignment horizontal="center" vertical="center"/>
    </xf>
    <xf numFmtId="0" fontId="17" fillId="11" borderId="2" xfId="0" applyFont="1" applyFill="1" applyBorder="1" applyAlignment="1">
      <alignment horizontal="left" vertical="center"/>
    </xf>
    <xf numFmtId="165" fontId="17" fillId="11" borderId="2" xfId="0" applyNumberFormat="1" applyFont="1" applyFill="1" applyBorder="1" applyAlignment="1">
      <alignment horizontal="right" vertical="center"/>
    </xf>
    <xf numFmtId="0" fontId="17" fillId="13" borderId="2" xfId="0" applyFont="1" applyFill="1" applyBorder="1" applyAlignment="1">
      <alignment horizontal="left" vertical="center"/>
    </xf>
    <xf numFmtId="170" fontId="10" fillId="2" borderId="2" xfId="0" applyNumberFormat="1" applyFont="1" applyFill="1" applyBorder="1" applyAlignment="1">
      <alignment horizontal="center" vertical="center"/>
    </xf>
    <xf numFmtId="172" fontId="10" fillId="2" borderId="2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16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2" fontId="22" fillId="14" borderId="9" xfId="0" applyNumberFormat="1" applyFont="1" applyFill="1" applyBorder="1" applyAlignment="1">
      <alignment horizontal="center" vertical="center" wrapText="1"/>
    </xf>
    <xf numFmtId="0" fontId="8" fillId="14" borderId="8" xfId="0" applyFont="1" applyFill="1" applyBorder="1" applyAlignment="1">
      <alignment horizontal="left" vertical="center"/>
    </xf>
    <xf numFmtId="175" fontId="5" fillId="17" borderId="9" xfId="0" applyNumberFormat="1" applyFont="1" applyFill="1" applyBorder="1" applyAlignment="1">
      <alignment horizontal="center" vertical="center" wrapText="1"/>
    </xf>
    <xf numFmtId="169" fontId="5" fillId="17" borderId="9" xfId="0" applyNumberFormat="1" applyFont="1" applyFill="1" applyBorder="1" applyAlignment="1">
      <alignment horizontal="center" vertical="center" wrapText="1"/>
    </xf>
    <xf numFmtId="2" fontId="4" fillId="14" borderId="9" xfId="0" applyNumberFormat="1" applyFont="1" applyFill="1" applyBorder="1" applyAlignment="1">
      <alignment horizontal="center" vertical="center" wrapText="1"/>
    </xf>
    <xf numFmtId="0" fontId="0" fillId="15" borderId="8" xfId="0" applyFill="1" applyBorder="1"/>
    <xf numFmtId="0" fontId="8" fillId="15" borderId="8" xfId="0" applyFont="1" applyFill="1" applyBorder="1" applyAlignment="1">
      <alignment horizontal="left" vertical="center"/>
    </xf>
    <xf numFmtId="2" fontId="8" fillId="15" borderId="8" xfId="0" applyNumberFormat="1" applyFont="1" applyFill="1" applyBorder="1" applyAlignment="1">
      <alignment horizontal="center" vertical="center" wrapText="1"/>
    </xf>
    <xf numFmtId="2" fontId="8" fillId="14" borderId="8" xfId="0" applyNumberFormat="1" applyFont="1" applyFill="1" applyBorder="1" applyAlignment="1">
      <alignment horizontal="center" vertical="center" wrapText="1"/>
    </xf>
    <xf numFmtId="169" fontId="5" fillId="14" borderId="8" xfId="0" applyNumberFormat="1" applyFont="1" applyFill="1" applyBorder="1" applyAlignment="1">
      <alignment horizontal="center" vertical="center" wrapText="1"/>
    </xf>
    <xf numFmtId="175" fontId="4" fillId="14" borderId="8" xfId="0" applyNumberFormat="1" applyFont="1" applyFill="1" applyBorder="1" applyAlignment="1">
      <alignment horizontal="center" vertical="center" wrapText="1"/>
    </xf>
    <xf numFmtId="2" fontId="5" fillId="14" borderId="8" xfId="0" applyNumberFormat="1" applyFont="1" applyFill="1" applyBorder="1" applyAlignment="1">
      <alignment horizontal="center" vertical="center" wrapText="1"/>
    </xf>
    <xf numFmtId="0" fontId="23" fillId="14" borderId="8" xfId="0" applyFont="1" applyFill="1" applyBorder="1" applyAlignment="1">
      <alignment horizontal="center" vertical="center" wrapText="1"/>
    </xf>
    <xf numFmtId="169" fontId="5" fillId="5" borderId="8" xfId="0" applyNumberFormat="1" applyFont="1" applyFill="1" applyBorder="1" applyAlignment="1">
      <alignment horizontal="center" vertical="center" wrapText="1"/>
    </xf>
    <xf numFmtId="175" fontId="4" fillId="5" borderId="8" xfId="0" applyNumberFormat="1" applyFont="1" applyFill="1" applyBorder="1" applyAlignment="1">
      <alignment horizontal="center" vertical="center" wrapText="1"/>
    </xf>
    <xf numFmtId="2" fontId="5" fillId="5" borderId="8" xfId="0" applyNumberFormat="1" applyFont="1" applyFill="1" applyBorder="1" applyAlignment="1">
      <alignment horizontal="center" vertical="center" wrapText="1"/>
    </xf>
    <xf numFmtId="0" fontId="23" fillId="5" borderId="8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left" vertical="center"/>
    </xf>
    <xf numFmtId="0" fontId="3" fillId="16" borderId="8" xfId="0" applyFont="1" applyFill="1" applyBorder="1" applyAlignment="1">
      <alignment horizontal="center" vertical="center" wrapText="1"/>
    </xf>
    <xf numFmtId="0" fontId="5" fillId="17" borderId="8" xfId="0" applyFont="1" applyFill="1" applyBorder="1" applyAlignment="1">
      <alignment horizontal="center" vertical="center" wrapText="1"/>
    </xf>
    <xf numFmtId="175" fontId="5" fillId="17" borderId="8" xfId="0" applyNumberFormat="1" applyFont="1" applyFill="1" applyBorder="1" applyAlignment="1">
      <alignment horizontal="center" vertical="center" wrapText="1"/>
    </xf>
    <xf numFmtId="169" fontId="5" fillId="17" borderId="8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18" borderId="0" xfId="0" applyFont="1" applyFill="1" applyAlignment="1">
      <alignment vertical="center" wrapText="1"/>
    </xf>
    <xf numFmtId="0" fontId="24" fillId="19" borderId="10" xfId="0" applyFont="1" applyFill="1" applyBorder="1" applyAlignment="1">
      <alignment horizontal="left" vertical="center" wrapText="1"/>
    </xf>
    <xf numFmtId="0" fontId="25" fillId="20" borderId="11" xfId="0" applyFont="1" applyFill="1" applyBorder="1" applyAlignment="1">
      <alignment horizontal="left" vertical="center"/>
    </xf>
    <xf numFmtId="3" fontId="26" fillId="20" borderId="11" xfId="0" applyNumberFormat="1" applyFont="1" applyFill="1" applyBorder="1" applyAlignment="1">
      <alignment horizontal="center" vertical="center"/>
    </xf>
    <xf numFmtId="0" fontId="26" fillId="20" borderId="11" xfId="0" applyFont="1" applyFill="1" applyBorder="1" applyAlignment="1">
      <alignment horizontal="left" vertical="center"/>
    </xf>
    <xf numFmtId="0" fontId="25" fillId="21" borderId="11" xfId="0" applyFont="1" applyFill="1" applyBorder="1" applyAlignment="1">
      <alignment horizontal="left" vertical="center"/>
    </xf>
    <xf numFmtId="10" fontId="26" fillId="21" borderId="11" xfId="0" applyNumberFormat="1" applyFont="1" applyFill="1" applyBorder="1" applyAlignment="1">
      <alignment horizontal="center" vertical="center"/>
    </xf>
    <xf numFmtId="0" fontId="26" fillId="21" borderId="11" xfId="0" applyFont="1" applyFill="1" applyBorder="1" applyAlignment="1">
      <alignment horizontal="left" vertical="center"/>
    </xf>
    <xf numFmtId="3" fontId="27" fillId="20" borderId="11" xfId="0" applyNumberFormat="1" applyFont="1" applyFill="1" applyBorder="1" applyAlignment="1">
      <alignment horizontal="center" vertical="center"/>
    </xf>
    <xf numFmtId="10" fontId="27" fillId="21" borderId="11" xfId="0" applyNumberFormat="1" applyFont="1" applyFill="1" applyBorder="1" applyAlignment="1">
      <alignment horizontal="center" vertical="center"/>
    </xf>
    <xf numFmtId="0" fontId="28" fillId="22" borderId="11" xfId="0" applyFont="1" applyFill="1" applyBorder="1" applyAlignment="1">
      <alignment horizontal="left" vertical="center"/>
    </xf>
    <xf numFmtId="0" fontId="0" fillId="22" borderId="11" xfId="0" applyFill="1" applyBorder="1" applyAlignment="1">
      <alignment horizontal="center" vertical="center"/>
    </xf>
    <xf numFmtId="0" fontId="10" fillId="22" borderId="11" xfId="0" applyFont="1" applyFill="1" applyBorder="1" applyAlignment="1">
      <alignment horizontal="left" vertical="center"/>
    </xf>
    <xf numFmtId="0" fontId="25" fillId="19" borderId="11" xfId="0" applyFont="1" applyFill="1" applyBorder="1" applyAlignment="1">
      <alignment horizontal="left" vertical="center"/>
    </xf>
    <xf numFmtId="10" fontId="29" fillId="19" borderId="11" xfId="0" applyNumberFormat="1" applyFont="1" applyFill="1" applyBorder="1" applyAlignment="1">
      <alignment horizontal="center" vertical="center"/>
    </xf>
    <xf numFmtId="0" fontId="30" fillId="19" borderId="11" xfId="0" applyFont="1" applyFill="1" applyBorder="1" applyAlignment="1">
      <alignment horizontal="left" vertical="center"/>
    </xf>
    <xf numFmtId="10" fontId="26" fillId="20" borderId="11" xfId="0" applyNumberFormat="1" applyFont="1" applyFill="1" applyBorder="1" applyAlignment="1">
      <alignment horizontal="center" vertical="center"/>
    </xf>
    <xf numFmtId="169" fontId="26" fillId="21" borderId="11" xfId="0" applyNumberFormat="1" applyFont="1" applyFill="1" applyBorder="1" applyAlignment="1">
      <alignment horizontal="center" vertical="center"/>
    </xf>
    <xf numFmtId="169" fontId="26" fillId="20" borderId="11" xfId="0" applyNumberFormat="1" applyFont="1" applyFill="1" applyBorder="1" applyAlignment="1">
      <alignment horizontal="center" vertical="center"/>
    </xf>
    <xf numFmtId="3" fontId="26" fillId="21" borderId="11" xfId="0" applyNumberFormat="1" applyFont="1" applyFill="1" applyBorder="1" applyAlignment="1">
      <alignment horizontal="center" vertical="center"/>
    </xf>
    <xf numFmtId="3" fontId="27" fillId="21" borderId="11" xfId="0" applyNumberFormat="1" applyFont="1" applyFill="1" applyBorder="1" applyAlignment="1">
      <alignment horizontal="center" vertical="center"/>
    </xf>
    <xf numFmtId="10" fontId="27" fillId="20" borderId="11" xfId="0" applyNumberFormat="1" applyFont="1" applyFill="1" applyBorder="1" applyAlignment="1">
      <alignment horizontal="center" vertical="center"/>
    </xf>
    <xf numFmtId="2" fontId="27" fillId="20" borderId="11" xfId="0" applyNumberFormat="1" applyFont="1" applyFill="1" applyBorder="1" applyAlignment="1">
      <alignment horizontal="center" vertical="center"/>
    </xf>
    <xf numFmtId="0" fontId="28" fillId="23" borderId="0" xfId="0" applyFont="1" applyFill="1" applyAlignment="1">
      <alignment horizontal="center" vertical="center"/>
    </xf>
    <xf numFmtId="0" fontId="31" fillId="22" borderId="0" xfId="0" applyFont="1" applyFill="1" applyAlignment="1">
      <alignment horizontal="center" vertical="center"/>
    </xf>
    <xf numFmtId="0" fontId="3" fillId="24" borderId="3" xfId="0" applyFont="1" applyFill="1" applyBorder="1" applyAlignment="1">
      <alignment horizontal="center" vertical="center"/>
    </xf>
    <xf numFmtId="0" fontId="3" fillId="24" borderId="4" xfId="0" applyFont="1" applyFill="1" applyBorder="1" applyAlignment="1">
      <alignment horizontal="center" vertical="center"/>
    </xf>
    <xf numFmtId="164" fontId="4" fillId="12" borderId="2" xfId="0" applyNumberFormat="1" applyFont="1" applyFill="1" applyBorder="1" applyAlignment="1">
      <alignment vertical="center"/>
    </xf>
    <xf numFmtId="164" fontId="4" fillId="3" borderId="2" xfId="0" applyNumberFormat="1" applyFont="1" applyFill="1" applyBorder="1" applyAlignment="1">
      <alignment vertical="center"/>
    </xf>
    <xf numFmtId="165" fontId="4" fillId="5" borderId="2" xfId="0" applyNumberFormat="1" applyFont="1" applyFill="1" applyBorder="1" applyAlignment="1">
      <alignment vertical="center"/>
    </xf>
    <xf numFmtId="165" fontId="8" fillId="8" borderId="2" xfId="0" applyNumberFormat="1" applyFont="1" applyFill="1" applyBorder="1" applyAlignment="1">
      <alignment vertical="center"/>
    </xf>
    <xf numFmtId="165" fontId="11" fillId="9" borderId="2" xfId="0" applyNumberFormat="1" applyFont="1" applyFill="1" applyBorder="1" applyAlignment="1">
      <alignment vertical="center"/>
    </xf>
    <xf numFmtId="165" fontId="4" fillId="6" borderId="2" xfId="0" applyNumberFormat="1" applyFont="1" applyFill="1" applyBorder="1" applyAlignment="1">
      <alignment vertical="center"/>
    </xf>
    <xf numFmtId="4" fontId="4" fillId="5" borderId="2" xfId="0" applyNumberFormat="1" applyFont="1" applyFill="1" applyBorder="1" applyAlignment="1">
      <alignment vertical="center"/>
    </xf>
    <xf numFmtId="4" fontId="16" fillId="9" borderId="2" xfId="0" applyNumberFormat="1" applyFont="1" applyFill="1" applyBorder="1" applyAlignment="1">
      <alignment vertical="center"/>
    </xf>
    <xf numFmtId="164" fontId="12" fillId="3" borderId="2" xfId="0" applyNumberFormat="1" applyFont="1" applyFill="1" applyBorder="1" applyAlignment="1">
      <alignment vertical="center"/>
    </xf>
    <xf numFmtId="165" fontId="7" fillId="2" borderId="2" xfId="0" applyNumberFormat="1" applyFont="1" applyFill="1" applyBorder="1" applyAlignment="1">
      <alignment vertical="center"/>
    </xf>
    <xf numFmtId="165" fontId="32" fillId="6" borderId="2" xfId="0" applyNumberFormat="1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left" vertical="center"/>
    </xf>
    <xf numFmtId="165" fontId="32" fillId="5" borderId="2" xfId="0" applyNumberFormat="1" applyFont="1" applyFill="1" applyBorder="1" applyAlignment="1">
      <alignment horizontal="right" vertical="center"/>
    </xf>
    <xf numFmtId="165" fontId="32" fillId="8" borderId="2" xfId="0" applyNumberFormat="1" applyFont="1" applyFill="1" applyBorder="1" applyAlignment="1">
      <alignment horizontal="right" vertical="center"/>
    </xf>
    <xf numFmtId="165" fontId="17" fillId="13" borderId="2" xfId="0" applyNumberFormat="1" applyFont="1" applyFill="1" applyBorder="1" applyAlignment="1">
      <alignment horizontal="right" vertical="center"/>
    </xf>
    <xf numFmtId="164" fontId="8" fillId="5" borderId="2" xfId="0" applyNumberFormat="1" applyFont="1" applyFill="1" applyBorder="1" applyAlignment="1">
      <alignment horizontal="right" vertical="center"/>
    </xf>
    <xf numFmtId="164" fontId="8" fillId="6" borderId="2" xfId="0" applyNumberFormat="1" applyFont="1" applyFill="1" applyBorder="1" applyAlignment="1">
      <alignment horizontal="right" vertical="center"/>
    </xf>
    <xf numFmtId="164" fontId="33" fillId="6" borderId="2" xfId="0" applyNumberFormat="1" applyFont="1" applyFill="1" applyBorder="1" applyAlignment="1">
      <alignment horizontal="right" vertical="center"/>
    </xf>
    <xf numFmtId="166" fontId="8" fillId="6" borderId="2" xfId="0" applyNumberFormat="1" applyFont="1" applyFill="1" applyBorder="1" applyAlignment="1">
      <alignment horizontal="right" vertical="center"/>
    </xf>
    <xf numFmtId="0" fontId="34" fillId="0" borderId="0" xfId="0" applyFont="1"/>
    <xf numFmtId="165" fontId="32" fillId="9" borderId="2" xfId="0" applyNumberFormat="1" applyFont="1" applyFill="1" applyBorder="1" applyAlignment="1">
      <alignment horizontal="right" vertical="center"/>
    </xf>
    <xf numFmtId="167" fontId="33" fillId="6" borderId="2" xfId="0" applyNumberFormat="1" applyFont="1" applyFill="1" applyBorder="1" applyAlignment="1">
      <alignment horizontal="right" vertical="center"/>
    </xf>
    <xf numFmtId="166" fontId="33" fillId="5" borderId="2" xfId="0" applyNumberFormat="1" applyFont="1" applyFill="1" applyBorder="1" applyAlignment="1">
      <alignment horizontal="right" vertical="center"/>
    </xf>
    <xf numFmtId="166" fontId="33" fillId="6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1F5C2E"/>
      <rgbColor rgb="FF444444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J17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5" sqref="B5"/>
    </sheetView>
  </sheetViews>
  <sheetFormatPr defaultColWidth="8.7109375" defaultRowHeight="15" x14ac:dyDescent="0.25"/>
  <cols>
    <col min="1" max="1" width="2" customWidth="1"/>
    <col min="2" max="2" width="45.140625" customWidth="1"/>
    <col min="3" max="8" width="15.140625" customWidth="1"/>
    <col min="10" max="10" width="61.140625" customWidth="1"/>
  </cols>
  <sheetData>
    <row r="1" spans="1:10" ht="5.25" customHeight="1" x14ac:dyDescent="0.25"/>
    <row r="2" spans="1:10" ht="21.75" customHeight="1" x14ac:dyDescent="0.25">
      <c r="B2" s="28" t="s">
        <v>0</v>
      </c>
      <c r="C2" s="28"/>
      <c r="D2" s="28"/>
    </row>
    <row r="3" spans="1:10" x14ac:dyDescent="0.25">
      <c r="A3" t="s">
        <v>119</v>
      </c>
      <c r="B3" s="40" t="s">
        <v>118</v>
      </c>
      <c r="C3" s="41"/>
      <c r="D3" s="41"/>
    </row>
    <row r="4" spans="1:10" x14ac:dyDescent="0.25">
      <c r="B4" s="31" t="s">
        <v>1</v>
      </c>
      <c r="C4" s="31" t="s">
        <v>2</v>
      </c>
      <c r="D4" s="31" t="s">
        <v>3</v>
      </c>
    </row>
    <row r="5" spans="1:10" ht="52.5" x14ac:dyDescent="0.25">
      <c r="B5" s="37" t="s">
        <v>4</v>
      </c>
      <c r="C5" s="33">
        <v>0.155</v>
      </c>
      <c r="D5" s="38" t="s">
        <v>5</v>
      </c>
    </row>
    <row r="6" spans="1:10" ht="42" x14ac:dyDescent="0.25">
      <c r="B6" s="37" t="s">
        <v>6</v>
      </c>
      <c r="C6" s="33">
        <v>0.7</v>
      </c>
      <c r="D6" s="38" t="s">
        <v>7</v>
      </c>
    </row>
    <row r="7" spans="1:10" ht="21" x14ac:dyDescent="0.25">
      <c r="B7" s="37" t="s">
        <v>8</v>
      </c>
      <c r="C7" s="34">
        <f>1-C6</f>
        <v>0.30000000000000004</v>
      </c>
      <c r="D7" s="38" t="s">
        <v>9</v>
      </c>
    </row>
    <row r="8" spans="1:10" ht="42" x14ac:dyDescent="0.25">
      <c r="B8" s="37" t="s">
        <v>10</v>
      </c>
      <c r="C8" s="35">
        <v>94415</v>
      </c>
      <c r="D8" s="38" t="s">
        <v>11</v>
      </c>
    </row>
    <row r="9" spans="1:10" ht="42" x14ac:dyDescent="0.25">
      <c r="B9" s="37" t="s">
        <v>12</v>
      </c>
      <c r="C9" s="35">
        <v>118970</v>
      </c>
      <c r="D9" s="38" t="s">
        <v>11</v>
      </c>
    </row>
    <row r="10" spans="1:10" ht="42" x14ac:dyDescent="0.25">
      <c r="B10" s="37" t="s">
        <v>13</v>
      </c>
      <c r="C10" s="36" t="s">
        <v>14</v>
      </c>
      <c r="D10" s="38" t="s">
        <v>15</v>
      </c>
    </row>
    <row r="12" spans="1:10" x14ac:dyDescent="0.25">
      <c r="A12" t="s">
        <v>119</v>
      </c>
      <c r="B12" s="42" t="s">
        <v>120</v>
      </c>
      <c r="C12" s="43"/>
      <c r="D12" s="43"/>
      <c r="E12" s="43"/>
      <c r="F12" s="43"/>
      <c r="G12" s="43"/>
      <c r="H12" s="43"/>
      <c r="I12" s="43"/>
      <c r="J12" s="43"/>
    </row>
    <row r="13" spans="1:10" x14ac:dyDescent="0.25">
      <c r="B13" s="30" t="s">
        <v>18</v>
      </c>
      <c r="C13" s="30" t="s">
        <v>123</v>
      </c>
      <c r="D13" s="30" t="s">
        <v>19</v>
      </c>
      <c r="E13" s="30" t="s">
        <v>20</v>
      </c>
      <c r="F13" s="30" t="s">
        <v>21</v>
      </c>
      <c r="G13" s="30" t="s">
        <v>22</v>
      </c>
      <c r="H13" s="30" t="s">
        <v>23</v>
      </c>
      <c r="I13" s="30" t="s">
        <v>121</v>
      </c>
      <c r="J13" s="30" t="s">
        <v>126</v>
      </c>
    </row>
    <row r="14" spans="1:10" ht="40.5" customHeight="1" x14ac:dyDescent="0.25">
      <c r="B14" s="6" t="s">
        <v>24</v>
      </c>
      <c r="C14" s="9">
        <v>55920</v>
      </c>
      <c r="D14" s="9">
        <v>97363</v>
      </c>
      <c r="E14" s="9">
        <v>112172</v>
      </c>
      <c r="F14" s="9">
        <v>108636.25</v>
      </c>
      <c r="G14" s="9">
        <v>108636.25</v>
      </c>
      <c r="H14" s="9">
        <v>108636.25</v>
      </c>
      <c r="I14" s="9">
        <v>108636.25</v>
      </c>
      <c r="J14" s="38" t="s">
        <v>125</v>
      </c>
    </row>
    <row r="15" spans="1:10" x14ac:dyDescent="0.25">
      <c r="B15" s="6" t="s">
        <v>124</v>
      </c>
      <c r="C15" s="9">
        <f>C14*$C$7</f>
        <v>16776.000000000004</v>
      </c>
      <c r="D15" s="9">
        <f>D14*$C$7</f>
        <v>29208.900000000005</v>
      </c>
      <c r="E15" s="9">
        <f>E14*$C$7</f>
        <v>33651.600000000006</v>
      </c>
      <c r="F15" s="9">
        <f t="shared" ref="F15:I15" si="0">F14*$C$7</f>
        <v>32590.875000000004</v>
      </c>
      <c r="G15" s="9">
        <f t="shared" si="0"/>
        <v>32590.875000000004</v>
      </c>
      <c r="H15" s="9">
        <f t="shared" si="0"/>
        <v>32590.875000000004</v>
      </c>
      <c r="I15" s="9">
        <f t="shared" si="0"/>
        <v>32590.875000000004</v>
      </c>
      <c r="J15" s="38" t="s">
        <v>127</v>
      </c>
    </row>
    <row r="16" spans="1:10" x14ac:dyDescent="0.25">
      <c r="B16" s="7" t="s">
        <v>128</v>
      </c>
      <c r="C16" s="8">
        <v>6.0499999999999998E-2</v>
      </c>
      <c r="D16" s="8">
        <v>6.0499999999999998E-2</v>
      </c>
      <c r="E16" s="8">
        <v>5.8999999999999997E-2</v>
      </c>
      <c r="F16" s="8">
        <v>5.8000000000000003E-2</v>
      </c>
      <c r="G16" s="8">
        <v>5.8000000000000003E-2</v>
      </c>
      <c r="H16" s="8">
        <v>5.8000000000000003E-2</v>
      </c>
      <c r="I16" s="8">
        <f>H16</f>
        <v>5.8000000000000003E-2</v>
      </c>
    </row>
    <row r="17" spans="2:8" ht="27.75" customHeight="1" x14ac:dyDescent="0.25">
      <c r="B17" s="44" t="s">
        <v>25</v>
      </c>
      <c r="C17" s="45"/>
      <c r="D17" s="45"/>
      <c r="E17" s="45"/>
      <c r="F17" s="45"/>
      <c r="G17" s="45"/>
      <c r="H17" s="45"/>
    </row>
  </sheetData>
  <mergeCells count="4">
    <mergeCell ref="B17:H17"/>
    <mergeCell ref="B12:J12"/>
    <mergeCell ref="B2:D2"/>
    <mergeCell ref="B3:D3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5C2E"/>
  </sheetPr>
  <dimension ref="B1:L24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J32" sqref="J32"/>
    </sheetView>
  </sheetViews>
  <sheetFormatPr defaultColWidth="8.7109375" defaultRowHeight="15" x14ac:dyDescent="0.25"/>
  <cols>
    <col min="1" max="1" width="2" customWidth="1"/>
    <col min="2" max="2" width="35" customWidth="1"/>
    <col min="3" max="12" width="11" customWidth="1"/>
  </cols>
  <sheetData>
    <row r="1" spans="2:12" ht="3.75" customHeight="1" x14ac:dyDescent="0.25"/>
    <row r="2" spans="2:12" ht="21.75" customHeight="1" x14ac:dyDescent="0.25">
      <c r="B2" s="46" t="s">
        <v>26</v>
      </c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2:12" x14ac:dyDescent="0.25">
      <c r="B3" s="31" t="s">
        <v>27</v>
      </c>
      <c r="C3" s="31" t="s">
        <v>28</v>
      </c>
      <c r="D3" s="31" t="s">
        <v>29</v>
      </c>
      <c r="E3" s="31" t="s">
        <v>30</v>
      </c>
      <c r="F3" s="31" t="s">
        <v>31</v>
      </c>
      <c r="G3" s="31" t="s">
        <v>32</v>
      </c>
      <c r="H3" s="31" t="s">
        <v>33</v>
      </c>
      <c r="I3" s="31" t="s">
        <v>34</v>
      </c>
      <c r="J3" s="31" t="s">
        <v>35</v>
      </c>
      <c r="K3" s="31" t="s">
        <v>36</v>
      </c>
      <c r="L3" s="31" t="s">
        <v>37</v>
      </c>
    </row>
    <row r="4" spans="2:12" x14ac:dyDescent="0.25">
      <c r="B4" s="3" t="s">
        <v>38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 x14ac:dyDescent="0.25">
      <c r="B5" s="14" t="s">
        <v>39</v>
      </c>
      <c r="C5" s="118">
        <v>73396</v>
      </c>
      <c r="D5" s="118">
        <v>82042</v>
      </c>
      <c r="E5" s="118">
        <v>88083</v>
      </c>
      <c r="F5" s="118">
        <v>100287</v>
      </c>
      <c r="G5" s="118">
        <v>109464</v>
      </c>
      <c r="H5" s="118">
        <v>111531</v>
      </c>
      <c r="I5" s="118">
        <v>132669</v>
      </c>
      <c r="J5" s="118">
        <v>176207</v>
      </c>
      <c r="K5" s="118">
        <v>178525</v>
      </c>
      <c r="L5" s="118">
        <v>188138</v>
      </c>
    </row>
    <row r="6" spans="2:12" x14ac:dyDescent="0.25">
      <c r="B6" s="119" t="s">
        <v>40</v>
      </c>
      <c r="C6" s="120">
        <v>47727</v>
      </c>
      <c r="D6" s="120">
        <v>52550</v>
      </c>
      <c r="E6" s="120">
        <v>55691</v>
      </c>
      <c r="F6" s="120">
        <v>62853</v>
      </c>
      <c r="G6" s="120">
        <v>65903</v>
      </c>
      <c r="H6" s="120">
        <v>64821</v>
      </c>
      <c r="I6" s="120">
        <v>79375</v>
      </c>
      <c r="J6" s="120">
        <v>111803</v>
      </c>
      <c r="K6" s="120">
        <v>112041</v>
      </c>
      <c r="L6" s="120">
        <v>117038</v>
      </c>
    </row>
    <row r="7" spans="2:12" x14ac:dyDescent="0.25">
      <c r="B7" s="14" t="s">
        <v>41</v>
      </c>
      <c r="C7" s="118">
        <v>4694</v>
      </c>
      <c r="D7" s="118">
        <v>5243</v>
      </c>
      <c r="E7" s="118">
        <v>5759</v>
      </c>
      <c r="F7" s="118">
        <v>5914</v>
      </c>
      <c r="G7" s="118">
        <v>5897</v>
      </c>
      <c r="H7" s="118">
        <v>6015</v>
      </c>
      <c r="I7" s="118">
        <v>7194</v>
      </c>
      <c r="J7" s="118">
        <v>7459</v>
      </c>
      <c r="K7" s="118">
        <v>7535</v>
      </c>
      <c r="L7" s="118">
        <v>7826</v>
      </c>
    </row>
    <row r="8" spans="2:12" x14ac:dyDescent="0.25">
      <c r="B8" s="119" t="s">
        <v>42</v>
      </c>
      <c r="C8" s="120">
        <v>1650</v>
      </c>
      <c r="D8" s="120">
        <v>1632</v>
      </c>
      <c r="E8" s="120">
        <v>1785</v>
      </c>
      <c r="F8" s="120">
        <v>2616</v>
      </c>
      <c r="G8" s="120">
        <v>3319</v>
      </c>
      <c r="H8" s="120">
        <v>3776</v>
      </c>
      <c r="I8" s="120">
        <v>4617</v>
      </c>
      <c r="J8" s="120">
        <v>5937</v>
      </c>
      <c r="K8" s="120">
        <v>7684</v>
      </c>
      <c r="L8" s="120">
        <v>9213</v>
      </c>
    </row>
    <row r="9" spans="2:12" x14ac:dyDescent="0.25">
      <c r="B9" s="14" t="s">
        <v>43</v>
      </c>
      <c r="C9" s="118">
        <v>-1474</v>
      </c>
      <c r="D9" s="118">
        <v>-1544</v>
      </c>
      <c r="E9" s="118">
        <v>-573</v>
      </c>
      <c r="F9" s="118">
        <v>2723</v>
      </c>
      <c r="G9" s="118">
        <v>-1061</v>
      </c>
      <c r="H9" s="118">
        <v>-1400</v>
      </c>
      <c r="I9" s="118">
        <v>-3535</v>
      </c>
      <c r="J9" s="118">
        <v>-2301</v>
      </c>
      <c r="K9" s="118">
        <v>-6815</v>
      </c>
      <c r="L9" s="118">
        <v>-7746</v>
      </c>
    </row>
    <row r="10" spans="2:12" x14ac:dyDescent="0.25">
      <c r="B10" s="47" t="s">
        <v>44</v>
      </c>
      <c r="C10" s="48">
        <f t="shared" ref="C10:L10" si="0">C5-C6-C7-C8-C9</f>
        <v>20799</v>
      </c>
      <c r="D10" s="48">
        <f t="shared" si="0"/>
        <v>24161</v>
      </c>
      <c r="E10" s="48">
        <f t="shared" si="0"/>
        <v>25421</v>
      </c>
      <c r="F10" s="48">
        <f t="shared" si="0"/>
        <v>26181</v>
      </c>
      <c r="G10" s="48">
        <f t="shared" si="0"/>
        <v>35406</v>
      </c>
      <c r="H10" s="48">
        <f t="shared" si="0"/>
        <v>38319</v>
      </c>
      <c r="I10" s="48">
        <f t="shared" si="0"/>
        <v>45018</v>
      </c>
      <c r="J10" s="48">
        <f t="shared" si="0"/>
        <v>53309</v>
      </c>
      <c r="K10" s="48">
        <f t="shared" si="0"/>
        <v>58080</v>
      </c>
      <c r="L10" s="48">
        <f t="shared" si="0"/>
        <v>61807</v>
      </c>
    </row>
    <row r="11" spans="2:12" x14ac:dyDescent="0.25">
      <c r="B11" s="14" t="s">
        <v>45</v>
      </c>
      <c r="C11" s="118">
        <v>1188</v>
      </c>
      <c r="D11" s="118">
        <v>1592</v>
      </c>
      <c r="E11" s="118">
        <v>5576</v>
      </c>
      <c r="F11" s="118">
        <v>2818</v>
      </c>
      <c r="G11" s="118">
        <v>8209</v>
      </c>
      <c r="H11" s="118">
        <v>5021</v>
      </c>
      <c r="I11" s="118">
        <v>4809</v>
      </c>
      <c r="J11" s="118">
        <v>2561</v>
      </c>
      <c r="K11" s="118">
        <v>5146</v>
      </c>
      <c r="L11" s="118">
        <v>8490</v>
      </c>
    </row>
    <row r="12" spans="2:12" x14ac:dyDescent="0.25">
      <c r="B12" s="119" t="s">
        <v>46</v>
      </c>
      <c r="C12" s="120">
        <v>5771</v>
      </c>
      <c r="D12" s="120">
        <v>6010</v>
      </c>
      <c r="E12" s="120">
        <v>7460</v>
      </c>
      <c r="F12" s="120">
        <v>8669</v>
      </c>
      <c r="G12" s="120">
        <v>10356</v>
      </c>
      <c r="H12" s="120">
        <v>12450</v>
      </c>
      <c r="I12" s="120">
        <v>13788</v>
      </c>
      <c r="J12" s="120">
        <v>14792</v>
      </c>
      <c r="K12" s="120">
        <v>16204</v>
      </c>
      <c r="L12" s="120">
        <v>17401</v>
      </c>
    </row>
    <row r="13" spans="2:12" x14ac:dyDescent="0.25">
      <c r="B13" s="14" t="s">
        <v>47</v>
      </c>
      <c r="C13" s="118">
        <v>3366</v>
      </c>
      <c r="D13" s="118">
        <v>3753</v>
      </c>
      <c r="E13" s="118">
        <v>4447</v>
      </c>
      <c r="F13" s="118">
        <v>5605</v>
      </c>
      <c r="G13" s="118">
        <v>8189</v>
      </c>
      <c r="H13" s="118">
        <v>9224</v>
      </c>
      <c r="I13" s="118">
        <v>9376</v>
      </c>
      <c r="J13" s="118">
        <v>11447</v>
      </c>
      <c r="K13" s="118">
        <v>12301</v>
      </c>
      <c r="L13" s="118">
        <v>13282</v>
      </c>
    </row>
    <row r="14" spans="2:12" x14ac:dyDescent="0.25">
      <c r="B14" s="11" t="s">
        <v>48</v>
      </c>
      <c r="C14" s="121">
        <v>10618</v>
      </c>
      <c r="D14" s="121">
        <v>13426</v>
      </c>
      <c r="E14" s="121">
        <v>16154</v>
      </c>
      <c r="F14" s="121">
        <v>11255</v>
      </c>
      <c r="G14" s="121">
        <v>21250</v>
      </c>
      <c r="H14" s="121">
        <v>17390</v>
      </c>
      <c r="I14" s="121">
        <v>22007</v>
      </c>
      <c r="J14" s="121">
        <v>23917</v>
      </c>
      <c r="K14" s="121">
        <v>28142</v>
      </c>
      <c r="L14" s="121">
        <v>32198</v>
      </c>
    </row>
    <row r="15" spans="2:12" x14ac:dyDescent="0.25">
      <c r="B15" s="14" t="s">
        <v>49</v>
      </c>
      <c r="C15" s="118">
        <v>-163</v>
      </c>
      <c r="D15" s="118">
        <v>2712</v>
      </c>
      <c r="E15" s="118">
        <v>5653</v>
      </c>
      <c r="F15" s="118">
        <v>-2780</v>
      </c>
      <c r="G15" s="118">
        <v>9348</v>
      </c>
      <c r="H15" s="118">
        <v>2421</v>
      </c>
      <c r="I15" s="118">
        <v>5047</v>
      </c>
      <c r="J15" s="118">
        <v>6796</v>
      </c>
      <c r="K15" s="118">
        <v>6809</v>
      </c>
      <c r="L15" s="118">
        <v>8245</v>
      </c>
    </row>
    <row r="16" spans="2:12" x14ac:dyDescent="0.25">
      <c r="B16" s="49" t="s">
        <v>50</v>
      </c>
      <c r="C16" s="122">
        <v>10801</v>
      </c>
      <c r="D16" s="122">
        <v>10720</v>
      </c>
      <c r="E16" s="122">
        <v>10544</v>
      </c>
      <c r="F16" s="122">
        <v>13737</v>
      </c>
      <c r="G16" s="122">
        <v>11600</v>
      </c>
      <c r="H16" s="122">
        <v>14635</v>
      </c>
      <c r="I16" s="122">
        <v>16676</v>
      </c>
      <c r="J16" s="122">
        <v>16913</v>
      </c>
      <c r="K16" s="122">
        <v>20812</v>
      </c>
      <c r="L16" s="122">
        <v>23422</v>
      </c>
    </row>
    <row r="17" spans="2:12" x14ac:dyDescent="0.25">
      <c r="B17" s="14" t="s">
        <v>51</v>
      </c>
      <c r="C17" s="118">
        <v>2762</v>
      </c>
      <c r="D17" s="118">
        <v>3941</v>
      </c>
      <c r="E17" s="118">
        <v>4222</v>
      </c>
      <c r="F17" s="118">
        <v>6016</v>
      </c>
      <c r="G17" s="118">
        <v>3117</v>
      </c>
      <c r="H17" s="118">
        <v>5963</v>
      </c>
      <c r="I17" s="118">
        <v>6788</v>
      </c>
      <c r="J17" s="118">
        <v>7030</v>
      </c>
      <c r="K17" s="118">
        <v>7515</v>
      </c>
      <c r="L17" s="118">
        <v>8097</v>
      </c>
    </row>
    <row r="19" spans="2:12" x14ac:dyDescent="0.25">
      <c r="B19" s="1" t="s">
        <v>122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 x14ac:dyDescent="0.25">
      <c r="B20" s="119" t="s">
        <v>52</v>
      </c>
      <c r="C20" s="123" t="s">
        <v>53</v>
      </c>
      <c r="D20" s="123">
        <f t="shared" ref="D20:L20" si="1">IF(C5&gt;0,D5/C5-1,"-")</f>
        <v>0.11779933511363017</v>
      </c>
      <c r="E20" s="123">
        <f t="shared" si="1"/>
        <v>7.363301723507476E-2</v>
      </c>
      <c r="F20" s="123">
        <f t="shared" si="1"/>
        <v>0.13855113926637386</v>
      </c>
      <c r="G20" s="123">
        <f t="shared" si="1"/>
        <v>9.1507373837087513E-2</v>
      </c>
      <c r="H20" s="123">
        <f t="shared" si="1"/>
        <v>1.8882920412190307E-2</v>
      </c>
      <c r="I20" s="123">
        <f t="shared" si="1"/>
        <v>0.18952578206955906</v>
      </c>
      <c r="J20" s="123">
        <f t="shared" si="1"/>
        <v>0.32817010756092224</v>
      </c>
      <c r="K20" s="123">
        <f t="shared" si="1"/>
        <v>1.3154982492182388E-2</v>
      </c>
      <c r="L20" s="123">
        <f t="shared" si="1"/>
        <v>5.3846800168043663E-2</v>
      </c>
    </row>
    <row r="21" spans="2:12" x14ac:dyDescent="0.25">
      <c r="B21" s="14" t="s">
        <v>54</v>
      </c>
      <c r="C21" s="124">
        <f t="shared" ref="C21:L21" si="2">IF(C5&gt;0,C10/C5,"-")</f>
        <v>0.2833805656984032</v>
      </c>
      <c r="D21" s="124">
        <f t="shared" si="2"/>
        <v>0.29449550230369809</v>
      </c>
      <c r="E21" s="124">
        <f t="shared" si="2"/>
        <v>0.28860279509099374</v>
      </c>
      <c r="F21" s="124">
        <f t="shared" si="2"/>
        <v>0.26106075563133807</v>
      </c>
      <c r="G21" s="124">
        <f t="shared" si="2"/>
        <v>0.32344880508660384</v>
      </c>
      <c r="H21" s="124">
        <f t="shared" si="2"/>
        <v>0.34357263899722945</v>
      </c>
      <c r="I21" s="124">
        <f t="shared" si="2"/>
        <v>0.33932569025167897</v>
      </c>
      <c r="J21" s="124">
        <f t="shared" si="2"/>
        <v>0.30253622160300103</v>
      </c>
      <c r="K21" s="124">
        <f t="shared" si="2"/>
        <v>0.32533258647248287</v>
      </c>
      <c r="L21" s="124">
        <f t="shared" si="2"/>
        <v>0.3285194910119168</v>
      </c>
    </row>
    <row r="22" spans="2:12" x14ac:dyDescent="0.25">
      <c r="B22" s="119" t="s">
        <v>55</v>
      </c>
      <c r="C22" s="123">
        <f t="shared" ref="C22:L22" si="3">IF(C5&gt;0,C16/C5,"-")</f>
        <v>0.14716060820753174</v>
      </c>
      <c r="D22" s="123">
        <f t="shared" si="3"/>
        <v>0.13066478145340191</v>
      </c>
      <c r="E22" s="123">
        <f t="shared" si="3"/>
        <v>0.11970527797645403</v>
      </c>
      <c r="F22" s="123">
        <f t="shared" si="3"/>
        <v>0.13697687636483294</v>
      </c>
      <c r="G22" s="123">
        <f t="shared" si="3"/>
        <v>0.10597091281151794</v>
      </c>
      <c r="H22" s="123">
        <f t="shared" si="3"/>
        <v>0.13121912293443078</v>
      </c>
      <c r="I22" s="123">
        <f t="shared" si="3"/>
        <v>0.12569628172368827</v>
      </c>
      <c r="J22" s="123">
        <f t="shared" si="3"/>
        <v>9.5983700988042472E-2</v>
      </c>
      <c r="K22" s="123">
        <f t="shared" si="3"/>
        <v>0.11657751015263969</v>
      </c>
      <c r="L22" s="123">
        <f>IF(L5&gt;0,L16/L5,"-")</f>
        <v>0.12449372269291691</v>
      </c>
    </row>
    <row r="23" spans="2:12" x14ac:dyDescent="0.25">
      <c r="B23" s="14" t="s">
        <v>56</v>
      </c>
      <c r="C23" s="125">
        <f>IF('Historical BS'!C7&gt;0,'Historical PnL'!C16/'Historical BS'!C7,"-")</f>
        <v>0.11794703794703795</v>
      </c>
      <c r="D23" s="125">
        <f>IF('Historical BS'!D7&gt;0,'Historical PnL'!D16/'Historical BS'!D7,"-")</f>
        <v>0.10956887916760359</v>
      </c>
      <c r="E23" s="125">
        <f>IF('Historical BS'!E7&gt;0,'Historical PnL'!E16/'Historical BS'!E7,"-")</f>
        <v>0.10181242335583171</v>
      </c>
      <c r="F23" s="125">
        <f>IF('Historical BS'!F7&gt;0,'Historical PnL'!F16/'Historical BS'!F7,"-")</f>
        <v>0.12336000431046094</v>
      </c>
      <c r="G23" s="125">
        <f>IF('Historical BS'!G7&gt;0,'Historical PnL'!G16/'Historical BS'!G7,"-")</f>
        <v>9.7610232245035344E-2</v>
      </c>
      <c r="H23" s="125">
        <f>IF('Historical BS'!H7&gt;0,'Historical PnL'!H16/'Historical BS'!H7,"-")</f>
        <v>0.11639189113958279</v>
      </c>
      <c r="I23" s="125">
        <f>IF('Historical BS'!I7&gt;0,'Historical PnL'!I16/'Historical BS'!I7,"-")</f>
        <v>0.12318465879711023</v>
      </c>
      <c r="J23" s="125">
        <f>IF('Historical BS'!J7&gt;0,'Historical PnL'!J16/'Historical BS'!J7,"-")</f>
        <v>0.11503564043965611</v>
      </c>
      <c r="K23" s="125">
        <f>IF('Historical BS'!K7&gt;0,'Historical PnL'!K16/'Historical BS'!K7,"-")</f>
        <v>0.1295003422313484</v>
      </c>
      <c r="L23" s="125">
        <f>IF('Historical BS'!L7&gt;0,'Historical PnL'!L16/'Historical BS'!L7,"-")</f>
        <v>0.12724437852785067</v>
      </c>
    </row>
    <row r="24" spans="2:12" x14ac:dyDescent="0.25">
      <c r="B24" s="119" t="s">
        <v>57</v>
      </c>
      <c r="C24" s="123">
        <f t="shared" ref="C24:L24" si="4">IF(C16&gt;0,C17/C16,"-")</f>
        <v>0.25571706323488563</v>
      </c>
      <c r="D24" s="123">
        <f t="shared" si="4"/>
        <v>0.3676305970149254</v>
      </c>
      <c r="E24" s="123">
        <f t="shared" si="4"/>
        <v>0.40041729893778455</v>
      </c>
      <c r="F24" s="123">
        <f t="shared" si="4"/>
        <v>0.4379413263449079</v>
      </c>
      <c r="G24" s="123">
        <f t="shared" si="4"/>
        <v>0.26870689655172414</v>
      </c>
      <c r="H24" s="123">
        <f t="shared" si="4"/>
        <v>0.40744789887256577</v>
      </c>
      <c r="I24" s="123">
        <f t="shared" si="4"/>
        <v>0.40705205085152313</v>
      </c>
      <c r="J24" s="123">
        <f t="shared" si="4"/>
        <v>0.41565659551824041</v>
      </c>
      <c r="K24" s="123">
        <f t="shared" si="4"/>
        <v>0.36108975591005188</v>
      </c>
      <c r="L24" s="123">
        <f t="shared" si="4"/>
        <v>0.34570062334557256</v>
      </c>
    </row>
  </sheetData>
  <mergeCells count="3">
    <mergeCell ref="B2:L2"/>
    <mergeCell ref="B4:L4"/>
    <mergeCell ref="B19:L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5C2E"/>
  </sheetPr>
  <dimension ref="B1:L25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G32" sqref="G32"/>
    </sheetView>
  </sheetViews>
  <sheetFormatPr defaultColWidth="8.7109375" defaultRowHeight="15" x14ac:dyDescent="0.25"/>
  <cols>
    <col min="1" max="1" width="2" customWidth="1"/>
    <col min="2" max="2" width="35" customWidth="1"/>
    <col min="3" max="12" width="11" customWidth="1"/>
  </cols>
  <sheetData>
    <row r="1" spans="2:12" ht="3" customHeight="1" x14ac:dyDescent="0.25"/>
    <row r="2" spans="2:12" ht="21.75" customHeight="1" x14ac:dyDescent="0.25">
      <c r="B2" s="2" t="s">
        <v>58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2:12" x14ac:dyDescent="0.25"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K3" s="5" t="s">
        <v>36</v>
      </c>
      <c r="L3" s="5" t="s">
        <v>37</v>
      </c>
    </row>
    <row r="4" spans="2:12" x14ac:dyDescent="0.25">
      <c r="B4" s="3" t="s">
        <v>59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 x14ac:dyDescent="0.25">
      <c r="B5" s="14" t="s">
        <v>60</v>
      </c>
      <c r="C5" s="118">
        <v>8245</v>
      </c>
      <c r="D5" s="118">
        <v>8245</v>
      </c>
      <c r="E5" s="118">
        <v>8245</v>
      </c>
      <c r="F5" s="118">
        <v>9895</v>
      </c>
      <c r="G5" s="118">
        <v>9895</v>
      </c>
      <c r="H5" s="118">
        <v>9697</v>
      </c>
      <c r="I5" s="118">
        <v>9697</v>
      </c>
      <c r="J5" s="118">
        <v>9697</v>
      </c>
      <c r="K5" s="118">
        <v>9697</v>
      </c>
      <c r="L5" s="118">
        <v>9697</v>
      </c>
    </row>
    <row r="6" spans="2:12" x14ac:dyDescent="0.25">
      <c r="B6" s="119" t="s">
        <v>61</v>
      </c>
      <c r="C6" s="120">
        <v>83330</v>
      </c>
      <c r="D6" s="120">
        <v>89593</v>
      </c>
      <c r="E6" s="120">
        <v>95318</v>
      </c>
      <c r="F6" s="120">
        <v>101462</v>
      </c>
      <c r="G6" s="120">
        <v>108945</v>
      </c>
      <c r="H6" s="120">
        <v>116042</v>
      </c>
      <c r="I6" s="120">
        <v>125677</v>
      </c>
      <c r="J6" s="120">
        <v>137327</v>
      </c>
      <c r="K6" s="120">
        <v>151013</v>
      </c>
      <c r="L6" s="120">
        <v>174374</v>
      </c>
    </row>
    <row r="7" spans="2:12" x14ac:dyDescent="0.25">
      <c r="B7" s="11" t="s">
        <v>62</v>
      </c>
      <c r="C7" s="13">
        <f t="shared" ref="C7:L7" si="0">C5+C6</f>
        <v>91575</v>
      </c>
      <c r="D7" s="13">
        <f t="shared" si="0"/>
        <v>97838</v>
      </c>
      <c r="E7" s="13">
        <f t="shared" si="0"/>
        <v>103563</v>
      </c>
      <c r="F7" s="13">
        <f t="shared" si="0"/>
        <v>111357</v>
      </c>
      <c r="G7" s="13">
        <f t="shared" si="0"/>
        <v>118840</v>
      </c>
      <c r="H7" s="13">
        <f t="shared" si="0"/>
        <v>125739</v>
      </c>
      <c r="I7" s="13">
        <f t="shared" si="0"/>
        <v>135374</v>
      </c>
      <c r="J7" s="13">
        <f t="shared" si="0"/>
        <v>147024</v>
      </c>
      <c r="K7" s="13">
        <f t="shared" si="0"/>
        <v>160710</v>
      </c>
      <c r="L7" s="13">
        <f t="shared" si="0"/>
        <v>184071</v>
      </c>
    </row>
    <row r="8" spans="2:12" x14ac:dyDescent="0.25">
      <c r="B8" s="119" t="s">
        <v>63</v>
      </c>
      <c r="C8" s="120">
        <v>99424</v>
      </c>
      <c r="D8" s="120">
        <v>113773</v>
      </c>
      <c r="E8" s="120">
        <v>130049</v>
      </c>
      <c r="F8" s="120">
        <v>173058</v>
      </c>
      <c r="G8" s="120">
        <v>202984</v>
      </c>
      <c r="H8" s="120">
        <v>210208</v>
      </c>
      <c r="I8" s="120">
        <v>210707</v>
      </c>
      <c r="J8" s="120">
        <v>222913</v>
      </c>
      <c r="K8" s="120">
        <v>237131</v>
      </c>
      <c r="L8" s="120">
        <v>250096</v>
      </c>
    </row>
    <row r="9" spans="2:12" x14ac:dyDescent="0.25">
      <c r="B9" s="14" t="s">
        <v>64</v>
      </c>
      <c r="C9" s="126">
        <f t="shared" ref="C9:L9" si="1">IF(C7&gt;0,C8/C7,"-")</f>
        <v>1.0857111657111658</v>
      </c>
      <c r="D9" s="126">
        <f t="shared" si="1"/>
        <v>1.1628712770089331</v>
      </c>
      <c r="E9" s="126">
        <f t="shared" si="1"/>
        <v>1.2557477091239149</v>
      </c>
      <c r="F9" s="126">
        <f t="shared" si="1"/>
        <v>1.5540828147310004</v>
      </c>
      <c r="G9" s="126">
        <f t="shared" si="1"/>
        <v>1.7080444294850219</v>
      </c>
      <c r="H9" s="126">
        <f t="shared" si="1"/>
        <v>1.6717804340737559</v>
      </c>
      <c r="I9" s="126">
        <f t="shared" si="1"/>
        <v>1.5564805649533884</v>
      </c>
      <c r="J9" s="126">
        <f t="shared" si="1"/>
        <v>1.5161674284470563</v>
      </c>
      <c r="K9" s="126">
        <f t="shared" si="1"/>
        <v>1.475521125007778</v>
      </c>
      <c r="L9" s="126">
        <f t="shared" si="1"/>
        <v>1.3586931129835771</v>
      </c>
    </row>
    <row r="10" spans="2:12" x14ac:dyDescent="0.25">
      <c r="B10" s="3" t="s">
        <v>65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</row>
    <row r="11" spans="2:12" x14ac:dyDescent="0.25">
      <c r="B11" s="14" t="s">
        <v>66</v>
      </c>
      <c r="C11" s="118">
        <v>92929</v>
      </c>
      <c r="D11" s="118">
        <v>104532</v>
      </c>
      <c r="E11" s="118">
        <v>128245</v>
      </c>
      <c r="F11" s="118">
        <v>150985</v>
      </c>
      <c r="G11" s="118">
        <v>187803</v>
      </c>
      <c r="H11" s="118">
        <v>203245</v>
      </c>
      <c r="I11" s="118">
        <v>224923</v>
      </c>
      <c r="J11" s="118">
        <v>240424</v>
      </c>
      <c r="K11" s="118">
        <v>258934</v>
      </c>
      <c r="L11" s="118">
        <v>271437</v>
      </c>
    </row>
    <row r="12" spans="2:12" x14ac:dyDescent="0.25">
      <c r="B12" s="119" t="s">
        <v>67</v>
      </c>
      <c r="C12" s="120">
        <v>75046</v>
      </c>
      <c r="D12" s="120">
        <v>86896</v>
      </c>
      <c r="E12" s="120">
        <v>83386</v>
      </c>
      <c r="F12" s="120">
        <v>118397</v>
      </c>
      <c r="G12" s="120">
        <v>98508</v>
      </c>
      <c r="H12" s="120">
        <v>97506</v>
      </c>
      <c r="I12" s="120">
        <v>91126</v>
      </c>
      <c r="J12" s="120">
        <v>89179</v>
      </c>
      <c r="K12" s="120">
        <v>87664</v>
      </c>
      <c r="L12" s="120">
        <v>100859</v>
      </c>
    </row>
    <row r="13" spans="2:12" x14ac:dyDescent="0.25">
      <c r="B13" s="14" t="s">
        <v>68</v>
      </c>
      <c r="C13" s="118">
        <v>8289</v>
      </c>
      <c r="D13" s="118">
        <v>8964</v>
      </c>
      <c r="E13" s="118">
        <v>8812</v>
      </c>
      <c r="F13" s="118">
        <v>12364</v>
      </c>
      <c r="G13" s="118">
        <v>20315</v>
      </c>
      <c r="H13" s="118">
        <v>28200</v>
      </c>
      <c r="I13" s="118">
        <v>27971</v>
      </c>
      <c r="J13" s="118">
        <v>30112</v>
      </c>
      <c r="K13" s="118">
        <v>33350</v>
      </c>
      <c r="L13" s="118">
        <v>34720</v>
      </c>
    </row>
    <row r="14" spans="2:12" x14ac:dyDescent="0.25">
      <c r="B14" s="119" t="s">
        <v>69</v>
      </c>
      <c r="C14" s="120">
        <v>4938</v>
      </c>
      <c r="D14" s="120">
        <v>3301</v>
      </c>
      <c r="E14" s="120">
        <v>4388</v>
      </c>
      <c r="F14" s="120">
        <v>2933</v>
      </c>
      <c r="G14" s="120">
        <v>3214</v>
      </c>
      <c r="H14" s="120">
        <v>4388</v>
      </c>
      <c r="I14" s="120">
        <v>4458</v>
      </c>
      <c r="J14" s="120">
        <v>4949</v>
      </c>
      <c r="K14" s="120">
        <v>6847</v>
      </c>
      <c r="L14" s="120">
        <v>11457</v>
      </c>
    </row>
    <row r="15" spans="2:12" x14ac:dyDescent="0.25"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</row>
    <row r="16" spans="2:12" x14ac:dyDescent="0.25">
      <c r="B16" s="3" t="s">
        <v>70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2:12" x14ac:dyDescent="0.25">
      <c r="B17" s="12" t="s">
        <v>71</v>
      </c>
      <c r="C17" s="128">
        <v>24125</v>
      </c>
      <c r="D17" s="128">
        <v>20167</v>
      </c>
      <c r="E17" s="128">
        <v>19670</v>
      </c>
      <c r="F17" s="128">
        <v>18686</v>
      </c>
      <c r="G17" s="128">
        <v>23890</v>
      </c>
      <c r="H17" s="128">
        <v>32444</v>
      </c>
      <c r="I17" s="128">
        <v>41788</v>
      </c>
      <c r="J17" s="128">
        <v>47152</v>
      </c>
      <c r="K17" s="128">
        <v>40099</v>
      </c>
      <c r="L17" s="128">
        <v>50436</v>
      </c>
    </row>
    <row r="18" spans="2:12" x14ac:dyDescent="0.25">
      <c r="B18" s="119" t="s">
        <v>72</v>
      </c>
      <c r="C18" s="120">
        <v>-19162</v>
      </c>
      <c r="D18" s="120">
        <v>-24480</v>
      </c>
      <c r="E18" s="120">
        <v>-20678</v>
      </c>
      <c r="F18" s="120">
        <v>-24063</v>
      </c>
      <c r="G18" s="120">
        <v>-29628</v>
      </c>
      <c r="H18" s="120">
        <v>-21034</v>
      </c>
      <c r="I18" s="120">
        <v>-22891</v>
      </c>
      <c r="J18" s="120">
        <v>-26145</v>
      </c>
      <c r="K18" s="120">
        <v>-31456</v>
      </c>
      <c r="L18" s="120">
        <v>-45800</v>
      </c>
    </row>
    <row r="19" spans="2:12" x14ac:dyDescent="0.25">
      <c r="B19" s="14" t="s">
        <v>73</v>
      </c>
      <c r="C19" s="118">
        <v>-3899</v>
      </c>
      <c r="D19" s="118">
        <v>3138</v>
      </c>
      <c r="E19" s="118">
        <v>1028</v>
      </c>
      <c r="F19" s="118">
        <v>4927</v>
      </c>
      <c r="G19" s="118">
        <v>6004</v>
      </c>
      <c r="H19" s="118">
        <v>-11049</v>
      </c>
      <c r="I19" s="118">
        <v>-19172</v>
      </c>
      <c r="J19" s="118">
        <v>-21217</v>
      </c>
      <c r="K19" s="118">
        <v>-8246</v>
      </c>
      <c r="L19" s="118">
        <v>-4073</v>
      </c>
    </row>
    <row r="20" spans="2:12" x14ac:dyDescent="0.25">
      <c r="B20" s="11" t="s">
        <v>74</v>
      </c>
      <c r="C20" s="13">
        <f t="shared" ref="C20:L20" si="2">C17+C18+C19</f>
        <v>1064</v>
      </c>
      <c r="D20" s="13">
        <f t="shared" si="2"/>
        <v>-1175</v>
      </c>
      <c r="E20" s="13">
        <f t="shared" si="2"/>
        <v>20</v>
      </c>
      <c r="F20" s="13">
        <f t="shared" si="2"/>
        <v>-450</v>
      </c>
      <c r="G20" s="13">
        <f t="shared" si="2"/>
        <v>266</v>
      </c>
      <c r="H20" s="13">
        <f t="shared" si="2"/>
        <v>361</v>
      </c>
      <c r="I20" s="13">
        <f t="shared" si="2"/>
        <v>-275</v>
      </c>
      <c r="J20" s="13">
        <f t="shared" si="2"/>
        <v>-210</v>
      </c>
      <c r="K20" s="13">
        <f t="shared" si="2"/>
        <v>397</v>
      </c>
      <c r="L20" s="13">
        <f t="shared" si="2"/>
        <v>563</v>
      </c>
    </row>
    <row r="21" spans="2:12" x14ac:dyDescent="0.25"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</row>
    <row r="22" spans="2:12" x14ac:dyDescent="0.25">
      <c r="B22" s="1" t="s">
        <v>75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 x14ac:dyDescent="0.25">
      <c r="B23" s="14" t="s">
        <v>76</v>
      </c>
      <c r="C23" s="129">
        <f>IF('Historical PnL'!C5&gt;0,C13/('Historical PnL'!C5/365),"-")</f>
        <v>41.221388086544231</v>
      </c>
      <c r="D23" s="129">
        <f>IF('Historical PnL'!D5&gt;0,D13/('Historical PnL'!D5/365),"-")</f>
        <v>39.880305209526824</v>
      </c>
      <c r="E23" s="129">
        <f>IF('Historical PnL'!E5&gt;0,E13/('Historical PnL'!E5/365),"-")</f>
        <v>36.515332129922911</v>
      </c>
      <c r="F23" s="129">
        <f>IF('Historical PnL'!F5&gt;0,F13/('Historical PnL'!F5/365),"-")</f>
        <v>44.999451573982675</v>
      </c>
      <c r="G23" s="129">
        <f>IF('Historical PnL'!G5&gt;0,G13/('Historical PnL'!G5/365),"-")</f>
        <v>67.738937002119414</v>
      </c>
      <c r="H23" s="129">
        <f>IF('Historical PnL'!H5&gt;0,H13/('Historical PnL'!H5/365),"-")</f>
        <v>92.288242730720611</v>
      </c>
      <c r="I23" s="129">
        <f>IF('Historical PnL'!I5&gt;0,I13/('Historical PnL'!I5/365),"-")</f>
        <v>76.954035984291735</v>
      </c>
      <c r="J23" s="129">
        <f>IF('Historical PnL'!J5&gt;0,J13/('Historical PnL'!J5/365),"-")</f>
        <v>62.374820523588738</v>
      </c>
      <c r="K23" s="129">
        <f>IF('Historical PnL'!K5&gt;0,K13/('Historical PnL'!K5/365),"-")</f>
        <v>68.185128133314663</v>
      </c>
      <c r="L23" s="129">
        <f>IF('Historical PnL'!L5&gt;0,L13/('Historical PnL'!L5/365),"-")</f>
        <v>67.359066217351099</v>
      </c>
    </row>
    <row r="24" spans="2:12" x14ac:dyDescent="0.25">
      <c r="B24" s="119" t="s">
        <v>77</v>
      </c>
      <c r="C24" s="130">
        <f>IF('Historical PnL'!C13&gt;0,('Historical PnL'!C14+'Historical PnL'!C13)/'Historical PnL'!C13,"-")</f>
        <v>4.1544860368389784</v>
      </c>
      <c r="D24" s="130">
        <f>IF('Historical PnL'!D13&gt;0,('Historical PnL'!D14+'Historical PnL'!D13)/'Historical PnL'!D13,"-")</f>
        <v>4.5774047428723685</v>
      </c>
      <c r="E24" s="130">
        <f>IF('Historical PnL'!E13&gt;0,('Historical PnL'!E14+'Historical PnL'!E13)/'Historical PnL'!E13,"-")</f>
        <v>4.6325612772655722</v>
      </c>
      <c r="F24" s="130">
        <f>IF('Historical PnL'!F13&gt;0,('Historical PnL'!F14+'Historical PnL'!F13)/'Historical PnL'!F13,"-")</f>
        <v>3.0080285459411238</v>
      </c>
      <c r="G24" s="130">
        <f>IF('Historical PnL'!G13&gt;0,('Historical PnL'!G14+'Historical PnL'!G13)/'Historical PnL'!G13,"-")</f>
        <v>3.5949444376602759</v>
      </c>
      <c r="H24" s="130">
        <f>IF('Historical PnL'!H13&gt;0,('Historical PnL'!H14+'Historical PnL'!H13)/'Historical PnL'!H13,"-")</f>
        <v>2.8852992194275804</v>
      </c>
      <c r="I24" s="130">
        <f>IF('Historical PnL'!I13&gt;0,('Historical PnL'!I14+'Historical PnL'!I13)/'Historical PnL'!I13,"-")</f>
        <v>3.3471629692832763</v>
      </c>
      <c r="J24" s="130">
        <f>IF('Historical PnL'!J13&gt;0,('Historical PnL'!J14+'Historical PnL'!J13)/'Historical PnL'!J13,"-")</f>
        <v>3.0893683934655369</v>
      </c>
      <c r="K24" s="130">
        <f>IF('Historical PnL'!K13&gt;0,('Historical PnL'!K14+'Historical PnL'!K13)/'Historical PnL'!K13,"-")</f>
        <v>3.2877814811803918</v>
      </c>
      <c r="L24" s="130">
        <f>IF('Historical PnL'!L13&gt;0,('Historical PnL'!L14+'Historical PnL'!L13)/'Historical PnL'!L13,"-")</f>
        <v>3.4241831049540732</v>
      </c>
    </row>
    <row r="25" spans="2:12" x14ac:dyDescent="0.25">
      <c r="B25" s="14" t="s">
        <v>78</v>
      </c>
      <c r="C25" s="131">
        <f>IF('Historical PnL'!C16&gt;0,'Historical BS'!C17/'Historical PnL'!C16,"-")</f>
        <v>2.2335894824553284</v>
      </c>
      <c r="D25" s="131">
        <f>IF('Historical PnL'!D16&gt;0,'Historical BS'!D17/'Historical PnL'!D16,"-")</f>
        <v>1.8812500000000001</v>
      </c>
      <c r="E25" s="131">
        <f>IF('Historical PnL'!E16&gt;0,'Historical BS'!E17/'Historical PnL'!E16,"-")</f>
        <v>1.86551593323217</v>
      </c>
      <c r="F25" s="131">
        <f>IF('Historical PnL'!F16&gt;0,'Historical BS'!F17/'Historical PnL'!F16,"-")</f>
        <v>1.3602678896411153</v>
      </c>
      <c r="G25" s="131">
        <f>IF('Historical PnL'!G16&gt;0,'Historical BS'!G17/'Historical PnL'!G16,"-")</f>
        <v>2.0594827586206899</v>
      </c>
      <c r="H25" s="131">
        <f>IF('Historical PnL'!H16&gt;0,'Historical BS'!H17/'Historical PnL'!H16,"-")</f>
        <v>2.2168773488213187</v>
      </c>
      <c r="I25" s="131">
        <f>IF('Historical PnL'!I16&gt;0,'Historical BS'!I17/'Historical PnL'!I16,"-")</f>
        <v>2.5058767090429361</v>
      </c>
      <c r="J25" s="131">
        <f>IF('Historical PnL'!J16&gt;0,'Historical BS'!J17/'Historical PnL'!J16,"-")</f>
        <v>2.787914621888488</v>
      </c>
      <c r="K25" s="131">
        <f>IF('Historical PnL'!K16&gt;0,'Historical BS'!K17/'Historical PnL'!K16,"-")</f>
        <v>1.9267249663655583</v>
      </c>
      <c r="L25" s="131">
        <f>IF('Historical PnL'!L16&gt;0,'Historical BS'!L17/'Historical PnL'!L16,"-")</f>
        <v>2.1533600888053965</v>
      </c>
    </row>
  </sheetData>
  <mergeCells count="5">
    <mergeCell ref="B2:L2"/>
    <mergeCell ref="B4:L4"/>
    <mergeCell ref="B10:L10"/>
    <mergeCell ref="B16:L16"/>
    <mergeCell ref="B22:L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B8000"/>
  </sheetPr>
  <dimension ref="B1:L14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M24" sqref="M24:M25"/>
    </sheetView>
  </sheetViews>
  <sheetFormatPr defaultColWidth="8.7109375" defaultRowHeight="15" x14ac:dyDescent="0.25"/>
  <cols>
    <col min="1" max="1" width="2" customWidth="1"/>
    <col min="2" max="2" width="32" customWidth="1"/>
    <col min="3" max="12" width="11" customWidth="1"/>
  </cols>
  <sheetData>
    <row r="1" spans="2:12" ht="21.75" customHeight="1" x14ac:dyDescent="0.25">
      <c r="B1" s="2" t="s">
        <v>79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x14ac:dyDescent="0.25">
      <c r="B2" s="5" t="s">
        <v>27</v>
      </c>
      <c r="C2" s="5" t="s">
        <v>80</v>
      </c>
      <c r="D2" s="5" t="s">
        <v>81</v>
      </c>
      <c r="E2" s="5" t="s">
        <v>82</v>
      </c>
      <c r="F2" s="5" t="s">
        <v>83</v>
      </c>
      <c r="G2" s="5" t="s">
        <v>84</v>
      </c>
      <c r="H2" s="5" t="s">
        <v>85</v>
      </c>
      <c r="I2" s="5" t="s">
        <v>86</v>
      </c>
      <c r="J2" s="5" t="s">
        <v>87</v>
      </c>
      <c r="K2" s="5" t="s">
        <v>88</v>
      </c>
      <c r="L2" s="5" t="s">
        <v>89</v>
      </c>
    </row>
    <row r="3" spans="2:12" x14ac:dyDescent="0.25">
      <c r="B3" s="3" t="s">
        <v>90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2:12" x14ac:dyDescent="0.25">
      <c r="B4" s="14" t="s">
        <v>39</v>
      </c>
      <c r="C4" s="118">
        <v>44983</v>
      </c>
      <c r="D4" s="118">
        <v>42820</v>
      </c>
      <c r="E4" s="118">
        <v>47628</v>
      </c>
      <c r="F4" s="118">
        <v>48529</v>
      </c>
      <c r="G4" s="118">
        <v>44706</v>
      </c>
      <c r="H4" s="118">
        <v>45069</v>
      </c>
      <c r="I4" s="118">
        <v>49834</v>
      </c>
      <c r="J4" s="118">
        <v>47065</v>
      </c>
      <c r="K4" s="118">
        <v>44786</v>
      </c>
      <c r="L4" s="118">
        <v>45846</v>
      </c>
    </row>
    <row r="5" spans="2:12" x14ac:dyDescent="0.25">
      <c r="B5" s="119" t="s">
        <v>91</v>
      </c>
      <c r="C5" s="120">
        <v>32303</v>
      </c>
      <c r="D5" s="120">
        <v>31458</v>
      </c>
      <c r="E5" s="120">
        <v>33638</v>
      </c>
      <c r="F5" s="120">
        <v>35091</v>
      </c>
      <c r="G5" s="120">
        <v>33041</v>
      </c>
      <c r="H5" s="120">
        <v>31729</v>
      </c>
      <c r="I5" s="120">
        <v>35080</v>
      </c>
      <c r="J5" s="120">
        <v>34485</v>
      </c>
      <c r="K5" s="120">
        <v>31970</v>
      </c>
      <c r="L5" s="120">
        <v>31276</v>
      </c>
    </row>
    <row r="6" spans="2:12" x14ac:dyDescent="0.25">
      <c r="B6" s="11" t="s">
        <v>44</v>
      </c>
      <c r="C6" s="121">
        <v>12680</v>
      </c>
      <c r="D6" s="121">
        <v>11362</v>
      </c>
      <c r="E6" s="121">
        <v>13990</v>
      </c>
      <c r="F6" s="121">
        <v>13438</v>
      </c>
      <c r="G6" s="121">
        <v>11665</v>
      </c>
      <c r="H6" s="121">
        <v>13341</v>
      </c>
      <c r="I6" s="121">
        <v>14754</v>
      </c>
      <c r="J6" s="121">
        <v>12580</v>
      </c>
      <c r="K6" s="121">
        <v>12816</v>
      </c>
      <c r="L6" s="121">
        <v>14570</v>
      </c>
    </row>
    <row r="7" spans="2:12" x14ac:dyDescent="0.25">
      <c r="B7" s="119" t="s">
        <v>54</v>
      </c>
      <c r="C7" s="123">
        <f t="shared" ref="C7:L7" si="0">IF(C4&gt;0,C6/C4,"-")</f>
        <v>0.28188426738990285</v>
      </c>
      <c r="D7" s="123">
        <f t="shared" si="0"/>
        <v>0.26534329752452124</v>
      </c>
      <c r="E7" s="123">
        <f t="shared" si="0"/>
        <v>0.293734777861762</v>
      </c>
      <c r="F7" s="123">
        <f t="shared" si="0"/>
        <v>0.27690659193471945</v>
      </c>
      <c r="G7" s="123">
        <f t="shared" si="0"/>
        <v>0.2609269449290923</v>
      </c>
      <c r="H7" s="123">
        <f t="shared" si="0"/>
        <v>0.29601278040338147</v>
      </c>
      <c r="I7" s="123">
        <f t="shared" si="0"/>
        <v>0.29606292892402775</v>
      </c>
      <c r="J7" s="123">
        <f t="shared" si="0"/>
        <v>0.2672899181982365</v>
      </c>
      <c r="K7" s="123">
        <f t="shared" si="0"/>
        <v>0.28616085383825302</v>
      </c>
      <c r="L7" s="123">
        <f t="shared" si="0"/>
        <v>0.31780307987610695</v>
      </c>
    </row>
    <row r="8" spans="2:12" x14ac:dyDescent="0.25">
      <c r="B8" s="14" t="s">
        <v>45</v>
      </c>
      <c r="C8" s="118">
        <v>1024</v>
      </c>
      <c r="D8" s="118">
        <v>2532</v>
      </c>
      <c r="E8" s="118">
        <v>1400</v>
      </c>
      <c r="F8" s="118">
        <v>1187</v>
      </c>
      <c r="G8" s="118">
        <v>3218</v>
      </c>
      <c r="H8" s="118">
        <v>986</v>
      </c>
      <c r="I8" s="118">
        <v>4180</v>
      </c>
      <c r="J8" s="118">
        <v>3240</v>
      </c>
      <c r="K8" s="118">
        <v>2734</v>
      </c>
      <c r="L8" s="118">
        <v>1738</v>
      </c>
    </row>
    <row r="9" spans="2:12" x14ac:dyDescent="0.25">
      <c r="B9" s="119" t="s">
        <v>46</v>
      </c>
      <c r="C9" s="120">
        <v>4038</v>
      </c>
      <c r="D9" s="120">
        <v>4074</v>
      </c>
      <c r="E9" s="120">
        <v>4271</v>
      </c>
      <c r="F9" s="120">
        <v>4204</v>
      </c>
      <c r="G9" s="120">
        <v>4216</v>
      </c>
      <c r="H9" s="120">
        <v>4318</v>
      </c>
      <c r="I9" s="120">
        <v>4663</v>
      </c>
      <c r="J9" s="120">
        <v>4587</v>
      </c>
      <c r="K9" s="120">
        <v>4816</v>
      </c>
      <c r="L9" s="120">
        <v>5093</v>
      </c>
    </row>
    <row r="10" spans="2:12" x14ac:dyDescent="0.25">
      <c r="B10" s="14" t="s">
        <v>92</v>
      </c>
      <c r="C10" s="118">
        <v>2921</v>
      </c>
      <c r="D10" s="118">
        <v>3250</v>
      </c>
      <c r="E10" s="118">
        <v>2955</v>
      </c>
      <c r="F10" s="118">
        <v>3136</v>
      </c>
      <c r="G10" s="118">
        <v>3621</v>
      </c>
      <c r="H10" s="118">
        <v>2764</v>
      </c>
      <c r="I10" s="118">
        <v>3648</v>
      </c>
      <c r="J10" s="118">
        <v>3468</v>
      </c>
      <c r="K10" s="118">
        <v>3432</v>
      </c>
      <c r="L10" s="118">
        <v>3164</v>
      </c>
    </row>
    <row r="11" spans="2:12" x14ac:dyDescent="0.25">
      <c r="B11" s="14" t="s">
        <v>48</v>
      </c>
      <c r="C11" s="118">
        <v>6746</v>
      </c>
      <c r="D11" s="118">
        <v>6571</v>
      </c>
      <c r="E11" s="118">
        <v>8164</v>
      </c>
      <c r="F11" s="118">
        <v>7284</v>
      </c>
      <c r="G11" s="118">
        <v>7046</v>
      </c>
      <c r="H11" s="118">
        <v>7245</v>
      </c>
      <c r="I11" s="118">
        <v>10623</v>
      </c>
      <c r="J11" s="118">
        <v>7765</v>
      </c>
      <c r="K11" s="118">
        <v>7301</v>
      </c>
      <c r="L11" s="118">
        <v>8050</v>
      </c>
    </row>
    <row r="12" spans="2:12" x14ac:dyDescent="0.25">
      <c r="B12" s="14" t="s">
        <v>93</v>
      </c>
      <c r="C12" s="118">
        <v>2020</v>
      </c>
      <c r="D12" s="118">
        <v>1362</v>
      </c>
      <c r="E12" s="118">
        <v>1674</v>
      </c>
      <c r="F12" s="118">
        <v>1778</v>
      </c>
      <c r="G12" s="118">
        <v>1666</v>
      </c>
      <c r="H12" s="118">
        <v>2075</v>
      </c>
      <c r="I12" s="118">
        <v>2726</v>
      </c>
      <c r="J12" s="118">
        <v>1657</v>
      </c>
      <c r="K12" s="118">
        <v>2076</v>
      </c>
      <c r="L12" s="118">
        <v>2453</v>
      </c>
    </row>
    <row r="13" spans="2:12" x14ac:dyDescent="0.25">
      <c r="B13" s="12" t="s">
        <v>50</v>
      </c>
      <c r="C13" s="128">
        <v>4615</v>
      </c>
      <c r="D13" s="128">
        <v>5155</v>
      </c>
      <c r="E13" s="128">
        <v>6169</v>
      </c>
      <c r="F13" s="128">
        <v>5474</v>
      </c>
      <c r="G13" s="128">
        <v>5275</v>
      </c>
      <c r="H13" s="128">
        <v>5063</v>
      </c>
      <c r="I13" s="128">
        <v>7611</v>
      </c>
      <c r="J13" s="128">
        <v>6011</v>
      </c>
      <c r="K13" s="128">
        <v>5067</v>
      </c>
      <c r="L13" s="128">
        <v>5489</v>
      </c>
    </row>
    <row r="14" spans="2:12" x14ac:dyDescent="0.25">
      <c r="B14" s="119" t="s">
        <v>94</v>
      </c>
      <c r="C14" s="123">
        <f t="shared" ref="C14:L14" si="1">IF(C4&gt;0,C13/C4,"-")</f>
        <v>0.1025943134072872</v>
      </c>
      <c r="D14" s="123">
        <f t="shared" si="1"/>
        <v>0.12038766931340496</v>
      </c>
      <c r="E14" s="123">
        <f t="shared" si="1"/>
        <v>0.1295246493659192</v>
      </c>
      <c r="F14" s="123">
        <f t="shared" si="1"/>
        <v>0.11279853283603618</v>
      </c>
      <c r="G14" s="123">
        <f t="shared" si="1"/>
        <v>0.11799311054444593</v>
      </c>
      <c r="H14" s="123">
        <f t="shared" si="1"/>
        <v>0.11233885819521179</v>
      </c>
      <c r="I14" s="123">
        <f t="shared" si="1"/>
        <v>0.15272705381867802</v>
      </c>
      <c r="J14" s="123">
        <f t="shared" si="1"/>
        <v>0.12771698714543717</v>
      </c>
      <c r="K14" s="123">
        <f t="shared" si="1"/>
        <v>0.11313803420711829</v>
      </c>
      <c r="L14" s="123">
        <f t="shared" si="1"/>
        <v>0.11972691183527462</v>
      </c>
    </row>
  </sheetData>
  <mergeCells count="2">
    <mergeCell ref="B1:L1"/>
    <mergeCell ref="B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1E25-5660-4624-BEF0-B58FB1298458}">
  <sheetPr>
    <tabColor rgb="FF1F3864"/>
  </sheetPr>
  <dimension ref="B2:K24"/>
  <sheetViews>
    <sheetView showGridLines="0" zoomScaleNormal="100" workbookViewId="0">
      <selection activeCell="F35" sqref="F35"/>
    </sheetView>
  </sheetViews>
  <sheetFormatPr defaultColWidth="8.7109375" defaultRowHeight="15" x14ac:dyDescent="0.25"/>
  <cols>
    <col min="1" max="1" width="1.85546875" customWidth="1"/>
    <col min="2" max="2" width="24.42578125" customWidth="1"/>
    <col min="3" max="3" width="16.85546875" customWidth="1"/>
    <col min="4" max="4" width="10" customWidth="1"/>
    <col min="5" max="5" width="13" customWidth="1"/>
    <col min="6" max="6" width="12" customWidth="1"/>
    <col min="7" max="7" width="11.7109375" customWidth="1"/>
    <col min="8" max="8" width="12" customWidth="1"/>
    <col min="9" max="9" width="10" customWidth="1"/>
    <col min="10" max="10" width="8" customWidth="1"/>
    <col min="11" max="11" width="13" customWidth="1"/>
    <col min="15" max="15" width="11.85546875" customWidth="1"/>
  </cols>
  <sheetData>
    <row r="2" spans="2:11" ht="21.75" customHeight="1" x14ac:dyDescent="0.25">
      <c r="B2" s="79" t="s">
        <v>149</v>
      </c>
      <c r="C2" s="79"/>
      <c r="D2" s="79"/>
      <c r="E2" s="79"/>
      <c r="F2" s="79"/>
      <c r="G2" s="79"/>
      <c r="H2" s="79"/>
      <c r="I2" s="79"/>
      <c r="J2" s="79"/>
      <c r="K2" s="79"/>
    </row>
    <row r="4" spans="2:11" ht="15" customHeight="1" x14ac:dyDescent="0.25">
      <c r="B4" s="55" t="s">
        <v>148</v>
      </c>
      <c r="C4" s="55"/>
      <c r="D4" s="55"/>
      <c r="E4" s="55"/>
    </row>
    <row r="5" spans="2:11" x14ac:dyDescent="0.25">
      <c r="B5" s="63" t="s">
        <v>133</v>
      </c>
      <c r="C5" s="78">
        <v>0.25</v>
      </c>
      <c r="D5" s="56" t="s">
        <v>147</v>
      </c>
    </row>
    <row r="6" spans="2:11" x14ac:dyDescent="0.25">
      <c r="B6" s="63" t="s">
        <v>132</v>
      </c>
      <c r="C6" s="77">
        <f>E11</f>
        <v>1.2775300000000001</v>
      </c>
      <c r="D6" s="56" t="s">
        <v>147</v>
      </c>
    </row>
    <row r="7" spans="2:11" x14ac:dyDescent="0.25">
      <c r="B7" s="63" t="s">
        <v>146</v>
      </c>
      <c r="C7" s="76" t="b">
        <f>TRUE()</f>
        <v>1</v>
      </c>
      <c r="D7" s="56" t="s">
        <v>145</v>
      </c>
    </row>
    <row r="9" spans="2:11" ht="6" customHeight="1" x14ac:dyDescent="0.25"/>
    <row r="10" spans="2:11" ht="36" customHeight="1" x14ac:dyDescent="0.25">
      <c r="B10" s="75" t="s">
        <v>144</v>
      </c>
      <c r="C10" s="75" t="s">
        <v>143</v>
      </c>
      <c r="D10" s="75" t="s">
        <v>142</v>
      </c>
      <c r="E10" s="75" t="s">
        <v>141</v>
      </c>
      <c r="F10" s="75" t="s">
        <v>140</v>
      </c>
      <c r="G10" s="75" t="s">
        <v>139</v>
      </c>
    </row>
    <row r="11" spans="2:11" x14ac:dyDescent="0.25">
      <c r="B11" s="58" t="s">
        <v>151</v>
      </c>
      <c r="C11" s="69" t="s">
        <v>150</v>
      </c>
      <c r="D11" s="68">
        <v>1.16527920714864</v>
      </c>
      <c r="E11" s="67">
        <v>1.2775300000000001</v>
      </c>
      <c r="F11" s="66">
        <v>0.25</v>
      </c>
      <c r="G11" s="65">
        <f>D11/(1+(1-F11)*E11)</f>
        <v>0.595092661379513</v>
      </c>
    </row>
    <row r="12" spans="2:11" x14ac:dyDescent="0.25">
      <c r="B12" s="74" t="s">
        <v>153</v>
      </c>
      <c r="C12" s="73" t="s">
        <v>152</v>
      </c>
      <c r="D12" s="72">
        <v>1.3395074809104199</v>
      </c>
      <c r="E12" s="71">
        <v>1.0041</v>
      </c>
      <c r="F12" s="70">
        <f>F11</f>
        <v>0.25</v>
      </c>
      <c r="G12" s="65">
        <f t="shared" ref="G12:G13" si="0">D12/(1+(1-F12)*E12)</f>
        <v>0.76409023054371317</v>
      </c>
    </row>
    <row r="13" spans="2:11" x14ac:dyDescent="0.25">
      <c r="B13" s="58" t="s">
        <v>155</v>
      </c>
      <c r="C13" s="69" t="s">
        <v>154</v>
      </c>
      <c r="D13" s="68">
        <v>1.75461841673487</v>
      </c>
      <c r="E13" s="67">
        <v>2.02556</v>
      </c>
      <c r="F13" s="70">
        <f t="shared" ref="F13:F15" si="1">F12</f>
        <v>0.25</v>
      </c>
      <c r="G13" s="65">
        <f t="shared" si="0"/>
        <v>0.6965065544345439</v>
      </c>
    </row>
    <row r="14" spans="2:11" x14ac:dyDescent="0.25">
      <c r="B14" s="74" t="s">
        <v>157</v>
      </c>
      <c r="C14" s="73" t="s">
        <v>156</v>
      </c>
      <c r="D14" s="72">
        <v>1.67319340896949</v>
      </c>
      <c r="E14" s="71">
        <v>1.5615999999999999</v>
      </c>
      <c r="F14" s="70">
        <f t="shared" si="1"/>
        <v>0.25</v>
      </c>
      <c r="G14" s="65">
        <f>D14/(1+(1-F14)*E14)</f>
        <v>0.77063071525860816</v>
      </c>
    </row>
    <row r="15" spans="2:11" ht="15" customHeight="1" x14ac:dyDescent="0.25">
      <c r="B15" s="58" t="s">
        <v>159</v>
      </c>
      <c r="C15" s="69" t="s">
        <v>158</v>
      </c>
      <c r="D15" s="68">
        <v>1.1126384358697701</v>
      </c>
      <c r="E15" s="67">
        <v>0.81251000000000007</v>
      </c>
      <c r="F15" s="70">
        <f t="shared" si="1"/>
        <v>0.25</v>
      </c>
      <c r="G15" s="65">
        <f>D15/(1+(1-F15)*E15)</f>
        <v>0.69134493252522</v>
      </c>
    </row>
    <row r="17" spans="2:11" x14ac:dyDescent="0.25">
      <c r="B17" s="63" t="s">
        <v>138</v>
      </c>
      <c r="C17" s="62"/>
      <c r="D17" s="64">
        <f>AVERAGE(D11:D15)</f>
        <v>1.4090473899266378</v>
      </c>
      <c r="E17" s="64">
        <f t="shared" ref="E17:G17" si="2">AVERAGE(E11:E15)</f>
        <v>1.33626</v>
      </c>
      <c r="F17" s="64">
        <f t="shared" si="2"/>
        <v>0.25</v>
      </c>
      <c r="G17" s="64">
        <f t="shared" si="2"/>
        <v>0.70353301882831965</v>
      </c>
    </row>
    <row r="18" spans="2:11" x14ac:dyDescent="0.25">
      <c r="B18" s="63" t="s">
        <v>137</v>
      </c>
      <c r="C18" s="62"/>
      <c r="D18" s="64">
        <f>MEDIAN(D11:D15)</f>
        <v>1.3395074809104199</v>
      </c>
      <c r="E18" s="64">
        <f t="shared" ref="E18:F18" si="3">MEDIAN(E11:E15)</f>
        <v>1.2775300000000001</v>
      </c>
      <c r="F18" s="64">
        <f t="shared" si="3"/>
        <v>0.25</v>
      </c>
      <c r="G18" s="64">
        <f>MEDIAN(G11:G15)</f>
        <v>0.6965065544345439</v>
      </c>
    </row>
    <row r="20" spans="2:11" ht="29.25" customHeight="1" x14ac:dyDescent="0.25">
      <c r="B20" s="80" t="s">
        <v>136</v>
      </c>
      <c r="C20" s="80"/>
      <c r="D20" s="80"/>
      <c r="E20" s="80"/>
      <c r="F20" s="80"/>
      <c r="G20" s="80"/>
      <c r="H20" s="81"/>
      <c r="I20" s="81"/>
      <c r="J20" s="81"/>
      <c r="K20" s="81"/>
    </row>
    <row r="21" spans="2:11" x14ac:dyDescent="0.25">
      <c r="B21" s="58" t="s">
        <v>135</v>
      </c>
      <c r="C21" s="61">
        <f>G18</f>
        <v>0.6965065544345439</v>
      </c>
      <c r="D21" s="61"/>
      <c r="E21" s="56" t="s">
        <v>134</v>
      </c>
    </row>
    <row r="22" spans="2:11" x14ac:dyDescent="0.25">
      <c r="B22" s="58" t="s">
        <v>133</v>
      </c>
      <c r="C22" s="60">
        <f>$C$5</f>
        <v>0.25</v>
      </c>
      <c r="D22" s="60"/>
      <c r="E22" s="56" t="s">
        <v>131</v>
      </c>
    </row>
    <row r="23" spans="2:11" x14ac:dyDescent="0.25">
      <c r="B23" s="58" t="s">
        <v>132</v>
      </c>
      <c r="C23" s="59">
        <f>$C$6</f>
        <v>1.2775300000000001</v>
      </c>
      <c r="D23" s="59"/>
      <c r="E23" s="56" t="s">
        <v>131</v>
      </c>
    </row>
    <row r="24" spans="2:11" x14ac:dyDescent="0.25">
      <c r="B24" s="58" t="s">
        <v>130</v>
      </c>
      <c r="C24" s="57">
        <f>C21*(1+(1-$C$22)*$C$23)</f>
        <v>1.3638625682996159</v>
      </c>
      <c r="D24" s="57"/>
      <c r="E24" s="56" t="s">
        <v>129</v>
      </c>
    </row>
  </sheetData>
  <mergeCells count="6">
    <mergeCell ref="C23:D23"/>
    <mergeCell ref="C24:D24"/>
    <mergeCell ref="B2:K2"/>
    <mergeCell ref="B4:E4"/>
    <mergeCell ref="C21:D21"/>
    <mergeCell ref="C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9E4B-753B-4490-B674-A3CBA74B20DC}">
  <dimension ref="B1:D59"/>
  <sheetViews>
    <sheetView showGridLines="0" zoomScaleNormal="100" workbookViewId="0">
      <selection activeCell="D31" sqref="D31"/>
    </sheetView>
  </sheetViews>
  <sheetFormatPr defaultColWidth="8.7109375" defaultRowHeight="15" x14ac:dyDescent="0.25"/>
  <cols>
    <col min="1" max="1" width="2" customWidth="1"/>
    <col min="2" max="2" width="36" customWidth="1"/>
    <col min="3" max="3" width="16" customWidth="1"/>
    <col min="4" max="4" width="49.28515625" customWidth="1"/>
  </cols>
  <sheetData>
    <row r="1" spans="2:4" ht="33.75" customHeight="1" x14ac:dyDescent="0.25">
      <c r="B1" s="105" t="s">
        <v>209</v>
      </c>
      <c r="C1" s="105"/>
      <c r="D1" s="105"/>
    </row>
    <row r="2" spans="2:4" ht="15.75" customHeight="1" x14ac:dyDescent="0.25">
      <c r="B2" s="104" t="s">
        <v>208</v>
      </c>
      <c r="C2" s="104"/>
      <c r="D2" s="104"/>
    </row>
    <row r="3" spans="2:4" ht="7.5" customHeight="1" x14ac:dyDescent="0.25"/>
    <row r="4" spans="2:4" ht="19.5" customHeight="1" x14ac:dyDescent="0.25">
      <c r="B4" s="93" t="s">
        <v>207</v>
      </c>
      <c r="C4" s="92"/>
      <c r="D4" s="91" t="s">
        <v>206</v>
      </c>
    </row>
    <row r="5" spans="2:4" ht="19.5" customHeight="1" x14ac:dyDescent="0.25">
      <c r="B5" s="85" t="s">
        <v>205</v>
      </c>
      <c r="C5" s="102">
        <v>6.7000000000000004E-2</v>
      </c>
      <c r="D5" s="83" t="s">
        <v>204</v>
      </c>
    </row>
    <row r="6" spans="2:4" ht="19.5" customHeight="1" x14ac:dyDescent="0.25">
      <c r="B6" s="88" t="s">
        <v>203</v>
      </c>
      <c r="C6" s="90">
        <v>6.8000000000000005E-2</v>
      </c>
      <c r="D6" s="86" t="s">
        <v>202</v>
      </c>
    </row>
    <row r="7" spans="2:4" ht="19.5" customHeight="1" x14ac:dyDescent="0.25">
      <c r="B7" s="85" t="s">
        <v>201</v>
      </c>
      <c r="C7" s="103">
        <f>'Comps Beta Table'!C24</f>
        <v>1.3638625682996159</v>
      </c>
      <c r="D7" s="83" t="s">
        <v>200</v>
      </c>
    </row>
    <row r="8" spans="2:4" ht="25.5" customHeight="1" x14ac:dyDescent="0.25">
      <c r="B8" s="96" t="s">
        <v>199</v>
      </c>
      <c r="C8" s="95">
        <f>C5+(C6*C7)</f>
        <v>0.1597426546443739</v>
      </c>
      <c r="D8" s="94" t="s">
        <v>198</v>
      </c>
    </row>
    <row r="9" spans="2:4" ht="7.5" customHeight="1" x14ac:dyDescent="0.25"/>
    <row r="10" spans="2:4" ht="19.5" customHeight="1" x14ac:dyDescent="0.25">
      <c r="B10" s="93" t="s">
        <v>197</v>
      </c>
      <c r="C10" s="92"/>
      <c r="D10" s="91" t="s">
        <v>196</v>
      </c>
    </row>
    <row r="11" spans="2:4" ht="19.5" customHeight="1" x14ac:dyDescent="0.25">
      <c r="B11" s="85" t="s">
        <v>195</v>
      </c>
      <c r="C11" s="102">
        <v>6.0499999999999998E-2</v>
      </c>
      <c r="D11" s="83" t="s">
        <v>194</v>
      </c>
    </row>
    <row r="12" spans="2:4" ht="19.5" customHeight="1" x14ac:dyDescent="0.25">
      <c r="B12" s="88" t="s">
        <v>140</v>
      </c>
      <c r="C12" s="90">
        <v>0.25</v>
      </c>
      <c r="D12" s="86" t="s">
        <v>193</v>
      </c>
    </row>
    <row r="13" spans="2:4" ht="25.5" customHeight="1" x14ac:dyDescent="0.25">
      <c r="B13" s="96" t="s">
        <v>192</v>
      </c>
      <c r="C13" s="95">
        <f>C11*(1-C12)</f>
        <v>4.5374999999999999E-2</v>
      </c>
      <c r="D13" s="94" t="s">
        <v>191</v>
      </c>
    </row>
    <row r="14" spans="2:4" ht="7.5" customHeight="1" x14ac:dyDescent="0.25"/>
    <row r="15" spans="2:4" ht="19.5" customHeight="1" x14ac:dyDescent="0.25">
      <c r="B15" s="93" t="s">
        <v>190</v>
      </c>
      <c r="C15" s="92"/>
      <c r="D15" s="91" t="s">
        <v>189</v>
      </c>
    </row>
    <row r="16" spans="2:4" ht="19.5" customHeight="1" x14ac:dyDescent="0.25">
      <c r="B16" s="88" t="s">
        <v>188</v>
      </c>
      <c r="C16" s="101">
        <v>370364</v>
      </c>
      <c r="D16" s="86" t="s">
        <v>187</v>
      </c>
    </row>
    <row r="17" spans="2:4" ht="19.5" customHeight="1" x14ac:dyDescent="0.25">
      <c r="B17" s="85" t="s">
        <v>186</v>
      </c>
      <c r="C17" s="89">
        <v>250096</v>
      </c>
      <c r="D17" s="83" t="s">
        <v>185</v>
      </c>
    </row>
    <row r="18" spans="2:4" ht="19.5" customHeight="1" x14ac:dyDescent="0.25">
      <c r="B18" s="88" t="s">
        <v>184</v>
      </c>
      <c r="C18" s="100">
        <f>C16+C17</f>
        <v>620460</v>
      </c>
      <c r="D18" s="86" t="s">
        <v>183</v>
      </c>
    </row>
    <row r="19" spans="2:4" ht="19.5" customHeight="1" x14ac:dyDescent="0.25">
      <c r="B19" s="85" t="s">
        <v>182</v>
      </c>
      <c r="C19" s="99">
        <f>C16/C18</f>
        <v>0.59691841536924217</v>
      </c>
      <c r="D19" s="83" t="s">
        <v>181</v>
      </c>
    </row>
    <row r="20" spans="2:4" ht="19.5" customHeight="1" x14ac:dyDescent="0.25">
      <c r="B20" s="88" t="s">
        <v>180</v>
      </c>
      <c r="C20" s="98">
        <f>C17/C18</f>
        <v>0.40308158463075783</v>
      </c>
      <c r="D20" s="86" t="s">
        <v>179</v>
      </c>
    </row>
    <row r="21" spans="2:4" ht="7.5" customHeight="1" x14ac:dyDescent="0.25"/>
    <row r="22" spans="2:4" ht="19.5" customHeight="1" x14ac:dyDescent="0.25">
      <c r="B22" s="93" t="s">
        <v>178</v>
      </c>
      <c r="C22" s="92"/>
      <c r="D22" s="91" t="s">
        <v>177</v>
      </c>
    </row>
    <row r="23" spans="2:4" ht="19.5" customHeight="1" x14ac:dyDescent="0.25">
      <c r="B23" s="85" t="s">
        <v>176</v>
      </c>
      <c r="C23" s="97">
        <f>C19*C8</f>
        <v>9.5353332277195779E-2</v>
      </c>
      <c r="D23" s="83" t="s">
        <v>175</v>
      </c>
    </row>
    <row r="24" spans="2:4" ht="19.5" customHeight="1" x14ac:dyDescent="0.25">
      <c r="B24" s="88" t="s">
        <v>174</v>
      </c>
      <c r="C24" s="87">
        <f>C20*C13</f>
        <v>1.8289826902620637E-2</v>
      </c>
      <c r="D24" s="86" t="s">
        <v>173</v>
      </c>
    </row>
    <row r="25" spans="2:4" ht="25.5" customHeight="1" x14ac:dyDescent="0.25">
      <c r="B25" s="96" t="s">
        <v>172</v>
      </c>
      <c r="C25" s="95">
        <f>C23+C24</f>
        <v>0.11364315917981642</v>
      </c>
      <c r="D25" s="94" t="s">
        <v>171</v>
      </c>
    </row>
    <row r="26" spans="2:4" ht="7.5" customHeight="1" x14ac:dyDescent="0.25"/>
    <row r="27" spans="2:4" ht="19.5" customHeight="1" x14ac:dyDescent="0.25">
      <c r="B27" s="93" t="s">
        <v>170</v>
      </c>
      <c r="C27" s="92"/>
      <c r="D27" s="91" t="s">
        <v>169</v>
      </c>
    </row>
    <row r="28" spans="2:4" ht="19.5" customHeight="1" x14ac:dyDescent="0.25">
      <c r="B28" s="88" t="s">
        <v>168</v>
      </c>
      <c r="C28" s="90">
        <v>0.155</v>
      </c>
      <c r="D28" s="86" t="s">
        <v>167</v>
      </c>
    </row>
    <row r="29" spans="2:4" ht="19.5" customHeight="1" x14ac:dyDescent="0.25">
      <c r="B29" s="85" t="s">
        <v>166</v>
      </c>
      <c r="C29" s="89">
        <v>94415</v>
      </c>
      <c r="D29" s="83" t="s">
        <v>165</v>
      </c>
    </row>
    <row r="30" spans="2:4" ht="19.5" customHeight="1" x14ac:dyDescent="0.25">
      <c r="B30" s="88" t="s">
        <v>164</v>
      </c>
      <c r="C30" s="87">
        <f>C28-C25</f>
        <v>4.135684082018358E-2</v>
      </c>
      <c r="D30" s="86" t="s">
        <v>163</v>
      </c>
    </row>
    <row r="31" spans="2:4" ht="19.5" customHeight="1" x14ac:dyDescent="0.25">
      <c r="B31" s="85" t="s">
        <v>162</v>
      </c>
      <c r="C31" s="84">
        <f>C30*C29</f>
        <v>3904.7061260376327</v>
      </c>
      <c r="D31" s="83" t="s">
        <v>161</v>
      </c>
    </row>
    <row r="32" spans="2:4" ht="7.5" customHeight="1" x14ac:dyDescent="0.25"/>
    <row r="33" spans="2:4" ht="30" customHeight="1" x14ac:dyDescent="0.25">
      <c r="B33" s="82" t="s">
        <v>160</v>
      </c>
      <c r="C33" s="82"/>
      <c r="D33" s="82"/>
    </row>
    <row r="34" spans="2:4" ht="19.5" customHeight="1" x14ac:dyDescent="0.25"/>
    <row r="35" spans="2:4" ht="19.5" customHeight="1" x14ac:dyDescent="0.25"/>
    <row r="36" spans="2:4" ht="19.5" customHeight="1" x14ac:dyDescent="0.25"/>
    <row r="37" spans="2:4" ht="19.5" customHeight="1" x14ac:dyDescent="0.25"/>
    <row r="38" spans="2:4" ht="19.5" customHeight="1" x14ac:dyDescent="0.25"/>
    <row r="39" spans="2:4" ht="19.5" customHeight="1" x14ac:dyDescent="0.25"/>
    <row r="40" spans="2:4" ht="19.5" customHeight="1" x14ac:dyDescent="0.25"/>
    <row r="41" spans="2:4" ht="19.5" customHeight="1" x14ac:dyDescent="0.25"/>
    <row r="42" spans="2:4" ht="19.5" customHeight="1" x14ac:dyDescent="0.25"/>
    <row r="43" spans="2:4" ht="19.5" customHeight="1" x14ac:dyDescent="0.25"/>
    <row r="44" spans="2:4" ht="19.5" customHeight="1" x14ac:dyDescent="0.25"/>
    <row r="45" spans="2:4" ht="19.5" customHeight="1" x14ac:dyDescent="0.25"/>
    <row r="46" spans="2:4" ht="19.5" customHeight="1" x14ac:dyDescent="0.25"/>
    <row r="47" spans="2:4" ht="19.5" customHeight="1" x14ac:dyDescent="0.25"/>
    <row r="48" spans="2:4" ht="19.5" customHeight="1" x14ac:dyDescent="0.25"/>
    <row r="49" customFormat="1" ht="19.5" customHeight="1" x14ac:dyDescent="0.25"/>
    <row r="50" customFormat="1" ht="19.5" customHeight="1" x14ac:dyDescent="0.25"/>
    <row r="51" customFormat="1" ht="19.5" customHeight="1" x14ac:dyDescent="0.25"/>
    <row r="52" customFormat="1" ht="19.5" customHeight="1" x14ac:dyDescent="0.25"/>
    <row r="53" customFormat="1" ht="19.5" customHeight="1" x14ac:dyDescent="0.25"/>
    <row r="54" customFormat="1" ht="19.5" customHeight="1" x14ac:dyDescent="0.25"/>
    <row r="55" customFormat="1" ht="19.5" customHeight="1" x14ac:dyDescent="0.25"/>
    <row r="56" customFormat="1" ht="19.5" customHeight="1" x14ac:dyDescent="0.25"/>
    <row r="57" customFormat="1" ht="19.5" customHeight="1" x14ac:dyDescent="0.25"/>
    <row r="58" customFormat="1" ht="19.5" customHeight="1" x14ac:dyDescent="0.25"/>
    <row r="59" customFormat="1" ht="19.5" customHeight="1" x14ac:dyDescent="0.25"/>
  </sheetData>
  <mergeCells count="3">
    <mergeCell ref="B1:D1"/>
    <mergeCell ref="B2:D2"/>
    <mergeCell ref="B33:D3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B1:I30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5" sqref="H5"/>
    </sheetView>
  </sheetViews>
  <sheetFormatPr defaultColWidth="8.7109375" defaultRowHeight="15" x14ac:dyDescent="0.25"/>
  <cols>
    <col min="1" max="1" width="2" customWidth="1"/>
    <col min="2" max="2" width="44" customWidth="1"/>
    <col min="3" max="7" width="16" customWidth="1"/>
  </cols>
  <sheetData>
    <row r="1" spans="2:9" ht="21.75" customHeight="1" x14ac:dyDescent="0.25">
      <c r="B1" s="4" t="s">
        <v>95</v>
      </c>
      <c r="C1" s="4"/>
      <c r="D1" s="4"/>
      <c r="E1" s="4"/>
      <c r="F1" s="4"/>
      <c r="G1" s="4"/>
      <c r="H1" s="4"/>
      <c r="I1" s="4"/>
    </row>
    <row r="2" spans="2:9" ht="13.5" customHeight="1" x14ac:dyDescent="0.25">
      <c r="B2" s="52" t="s">
        <v>96</v>
      </c>
      <c r="C2" s="52"/>
      <c r="D2" s="52"/>
      <c r="E2" s="52"/>
      <c r="F2" s="52"/>
      <c r="G2" s="52"/>
      <c r="H2" s="52"/>
      <c r="I2" s="52"/>
    </row>
    <row r="3" spans="2:9" ht="19.5" customHeight="1" x14ac:dyDescent="0.25">
      <c r="B3" s="15" t="s">
        <v>97</v>
      </c>
      <c r="C3" s="50">
        <v>46082</v>
      </c>
      <c r="D3" s="51">
        <f>C3+365</f>
        <v>46447</v>
      </c>
      <c r="E3" s="51">
        <f t="shared" ref="E3:I3" si="0">D3+365</f>
        <v>46812</v>
      </c>
      <c r="F3" s="51">
        <f t="shared" si="0"/>
        <v>47177</v>
      </c>
      <c r="G3" s="51">
        <f t="shared" si="0"/>
        <v>47542</v>
      </c>
      <c r="H3" s="51">
        <f t="shared" si="0"/>
        <v>47907</v>
      </c>
      <c r="I3" s="51">
        <f t="shared" si="0"/>
        <v>48272</v>
      </c>
    </row>
    <row r="4" spans="2:9" x14ac:dyDescent="0.25">
      <c r="B4" s="53" t="s">
        <v>98</v>
      </c>
      <c r="C4" s="54"/>
      <c r="D4" s="54"/>
      <c r="E4" s="54"/>
      <c r="F4" s="54"/>
      <c r="G4" s="54"/>
      <c r="H4" s="54"/>
      <c r="I4" s="54"/>
    </row>
    <row r="5" spans="2:9" x14ac:dyDescent="0.25">
      <c r="B5" s="14" t="s">
        <v>99</v>
      </c>
      <c r="C5" s="16">
        <v>108791</v>
      </c>
      <c r="D5" s="10">
        <f>C9</f>
        <v>125567</v>
      </c>
      <c r="E5" s="10">
        <f t="shared" ref="E5:I5" si="1">D9</f>
        <v>154775.9</v>
      </c>
      <c r="F5" s="10">
        <f t="shared" si="1"/>
        <v>188427.5</v>
      </c>
      <c r="G5" s="10">
        <f t="shared" si="1"/>
        <v>221018.375</v>
      </c>
      <c r="H5" s="10">
        <f t="shared" si="1"/>
        <v>253609.25</v>
      </c>
      <c r="I5" s="10">
        <f t="shared" si="1"/>
        <v>286200.125</v>
      </c>
    </row>
    <row r="6" spans="2:9" x14ac:dyDescent="0.25">
      <c r="B6" s="12" t="s">
        <v>100</v>
      </c>
      <c r="C6" s="17">
        <f>C5*Assumptions!C5</f>
        <v>16862.605</v>
      </c>
      <c r="D6" s="17">
        <f>Assumptions!$C$5*D5</f>
        <v>19462.884999999998</v>
      </c>
      <c r="E6" s="17">
        <f>Assumptions!$C$5*E5</f>
        <v>23990.264499999997</v>
      </c>
      <c r="F6" s="17">
        <f>Assumptions!$C$5*F5</f>
        <v>29206.262500000001</v>
      </c>
      <c r="G6" s="17">
        <f>Assumptions!$C$5*G5</f>
        <v>34257.848124999997</v>
      </c>
      <c r="H6" s="17">
        <f>Assumptions!$C$5*H5</f>
        <v>39309.433749999997</v>
      </c>
      <c r="I6" s="17">
        <f>Assumptions!$C$5*I5</f>
        <v>44361.019374999996</v>
      </c>
    </row>
    <row r="7" spans="2:9" x14ac:dyDescent="0.25">
      <c r="B7" s="7" t="s">
        <v>101</v>
      </c>
      <c r="C7" s="18">
        <f>Assumptions!C15</f>
        <v>16776.000000000004</v>
      </c>
      <c r="D7" s="18">
        <f>Assumptions!D15</f>
        <v>29208.900000000005</v>
      </c>
      <c r="E7" s="18">
        <f>Assumptions!E15</f>
        <v>33651.600000000006</v>
      </c>
      <c r="F7" s="18">
        <f>Assumptions!F15</f>
        <v>32590.875000000004</v>
      </c>
      <c r="G7" s="18">
        <f>Assumptions!G15</f>
        <v>32590.875000000004</v>
      </c>
      <c r="H7" s="18">
        <f>Assumptions!H15</f>
        <v>32590.875000000004</v>
      </c>
      <c r="I7" s="18">
        <f>Assumptions!I15</f>
        <v>32590.875000000004</v>
      </c>
    </row>
    <row r="8" spans="2:9" x14ac:dyDescent="0.25">
      <c r="B8" s="19" t="s">
        <v>102</v>
      </c>
      <c r="C8" s="20">
        <f>C6-C7</f>
        <v>86.604999999995925</v>
      </c>
      <c r="D8" s="20">
        <f t="shared" ref="D8:I8" si="2">D6-D7</f>
        <v>-9746.0150000000067</v>
      </c>
      <c r="E8" s="20">
        <f t="shared" si="2"/>
        <v>-9661.3355000000083</v>
      </c>
      <c r="F8" s="20">
        <f t="shared" si="2"/>
        <v>-3384.6125000000029</v>
      </c>
      <c r="G8" s="20">
        <f t="shared" si="2"/>
        <v>1666.9731249999932</v>
      </c>
      <c r="H8" s="20">
        <f t="shared" si="2"/>
        <v>6718.5587499999929</v>
      </c>
      <c r="I8" s="20">
        <f t="shared" si="2"/>
        <v>11770.144374999993</v>
      </c>
    </row>
    <row r="9" spans="2:9" x14ac:dyDescent="0.25">
      <c r="B9" s="11" t="s">
        <v>103</v>
      </c>
      <c r="C9" s="13">
        <f>C5+C7</f>
        <v>125567</v>
      </c>
      <c r="D9" s="13">
        <f t="shared" ref="D9:I9" si="3">D5+D7</f>
        <v>154775.9</v>
      </c>
      <c r="E9" s="13">
        <f t="shared" si="3"/>
        <v>188427.5</v>
      </c>
      <c r="F9" s="13">
        <f t="shared" si="3"/>
        <v>221018.375</v>
      </c>
      <c r="G9" s="13">
        <f t="shared" si="3"/>
        <v>253609.25</v>
      </c>
      <c r="H9" s="13">
        <f t="shared" si="3"/>
        <v>286200.125</v>
      </c>
      <c r="I9" s="13">
        <f t="shared" si="3"/>
        <v>318791</v>
      </c>
    </row>
    <row r="11" spans="2:9" x14ac:dyDescent="0.25">
      <c r="B11" s="106" t="s">
        <v>104</v>
      </c>
      <c r="C11" s="107"/>
      <c r="D11" s="107"/>
      <c r="E11" s="107"/>
      <c r="F11" s="107"/>
      <c r="G11" s="107"/>
      <c r="H11" s="107"/>
      <c r="I11" s="107"/>
    </row>
    <row r="12" spans="2:9" x14ac:dyDescent="0.25">
      <c r="B12" s="7" t="s">
        <v>105</v>
      </c>
      <c r="C12" s="21">
        <v>1</v>
      </c>
      <c r="D12" s="21">
        <v>2</v>
      </c>
      <c r="E12" s="21">
        <v>3</v>
      </c>
      <c r="F12" s="21">
        <v>4</v>
      </c>
      <c r="G12" s="21">
        <v>5</v>
      </c>
      <c r="H12" s="21">
        <v>6</v>
      </c>
      <c r="I12" s="21">
        <v>7</v>
      </c>
    </row>
    <row r="13" spans="2:9" x14ac:dyDescent="0.25">
      <c r="B13" s="6" t="s">
        <v>106</v>
      </c>
      <c r="C13" s="22">
        <f>1/(1+'WACC '!$C$8)^C12</f>
        <v>0.86226025747638146</v>
      </c>
      <c r="D13" s="22">
        <f>1/(1+'WACC '!$C$8)^D12</f>
        <v>0.74349275162323569</v>
      </c>
      <c r="E13" s="22">
        <f>1/(1+'WACC '!$C$8)^E12</f>
        <v>0.64108425144647463</v>
      </c>
      <c r="F13" s="22">
        <f>1/(1+'WACC '!$C$8)^F12</f>
        <v>0.55278147171629055</v>
      </c>
      <c r="G13" s="22">
        <f>1/(1+'WACC '!$C$8)^G12</f>
        <v>0.47664149413026174</v>
      </c>
      <c r="H13" s="22">
        <f>1/(1+'WACC '!$C$8)^H12</f>
        <v>0.41098901745268668</v>
      </c>
      <c r="I13" s="22">
        <f>1/(1+'WACC '!$C$8)^I12</f>
        <v>0.35437949600871865</v>
      </c>
    </row>
    <row r="14" spans="2:9" x14ac:dyDescent="0.25">
      <c r="B14" s="11" t="s">
        <v>107</v>
      </c>
      <c r="C14" s="23">
        <f>C9*C13</f>
        <v>108271.43375053679</v>
      </c>
      <c r="D14" s="23">
        <f t="shared" ref="D14:I14" si="4">D9*D13</f>
        <v>115074.75977596277</v>
      </c>
      <c r="E14" s="23">
        <f t="shared" si="4"/>
        <v>120797.90278943059</v>
      </c>
      <c r="F14" s="23">
        <f t="shared" si="4"/>
        <v>122174.862608843</v>
      </c>
      <c r="G14" s="23">
        <f t="shared" si="4"/>
        <v>120880.69184525509</v>
      </c>
      <c r="H14" s="23">
        <f t="shared" si="4"/>
        <v>117625.10816858611</v>
      </c>
      <c r="I14" s="23">
        <f t="shared" si="4"/>
        <v>112972.99391211543</v>
      </c>
    </row>
    <row r="16" spans="2:9" x14ac:dyDescent="0.25">
      <c r="B16" s="29" t="s">
        <v>108</v>
      </c>
      <c r="C16" s="29"/>
    </row>
    <row r="17" spans="2:3" x14ac:dyDescent="0.25">
      <c r="B17" s="32" t="s">
        <v>211</v>
      </c>
      <c r="C17" s="108">
        <f>'WACC '!C8</f>
        <v>0.1597426546443739</v>
      </c>
    </row>
    <row r="18" spans="2:3" x14ac:dyDescent="0.25">
      <c r="B18" s="24" t="s">
        <v>16</v>
      </c>
      <c r="C18" s="109">
        <v>0.05</v>
      </c>
    </row>
    <row r="19" spans="2:3" x14ac:dyDescent="0.25">
      <c r="B19" s="6" t="s">
        <v>210</v>
      </c>
      <c r="C19" s="110">
        <f>I14*(1+C18)</f>
        <v>118621.64360772121</v>
      </c>
    </row>
    <row r="20" spans="2:3" x14ac:dyDescent="0.25">
      <c r="B20" s="11" t="s">
        <v>109</v>
      </c>
      <c r="C20" s="111">
        <f>C19/(C17-C18)</f>
        <v>1080907.3645258546</v>
      </c>
    </row>
    <row r="21" spans="2:3" x14ac:dyDescent="0.25">
      <c r="B21" s="12" t="s">
        <v>110</v>
      </c>
      <c r="C21" s="112">
        <f>C20/(1+C17)^I12</f>
        <v>383051.40707278467</v>
      </c>
    </row>
    <row r="23" spans="2:3" x14ac:dyDescent="0.25">
      <c r="B23" s="29" t="s">
        <v>111</v>
      </c>
      <c r="C23" s="29"/>
    </row>
    <row r="24" spans="2:3" x14ac:dyDescent="0.25">
      <c r="B24" s="6" t="s">
        <v>112</v>
      </c>
      <c r="C24" s="110">
        <f>SUM(C14:I14)</f>
        <v>817797.75285072986</v>
      </c>
    </row>
    <row r="25" spans="2:3" x14ac:dyDescent="0.25">
      <c r="B25" s="7" t="s">
        <v>113</v>
      </c>
      <c r="C25" s="113">
        <f>C21</f>
        <v>383051.40707278467</v>
      </c>
    </row>
    <row r="26" spans="2:3" x14ac:dyDescent="0.25">
      <c r="B26" s="25" t="s">
        <v>114</v>
      </c>
      <c r="C26" s="117">
        <f>C24+C25</f>
        <v>1200849.1599235146</v>
      </c>
    </row>
    <row r="27" spans="2:3" x14ac:dyDescent="0.25">
      <c r="B27" s="6" t="s">
        <v>17</v>
      </c>
      <c r="C27" s="114">
        <v>970</v>
      </c>
    </row>
    <row r="28" spans="2:3" ht="15.75" x14ac:dyDescent="0.25">
      <c r="B28" s="26" t="s">
        <v>115</v>
      </c>
      <c r="C28" s="115">
        <f>C26/C27</f>
        <v>1237.9888246634171</v>
      </c>
    </row>
    <row r="29" spans="2:3" x14ac:dyDescent="0.25">
      <c r="B29" s="6" t="s">
        <v>116</v>
      </c>
      <c r="C29" s="114">
        <v>382</v>
      </c>
    </row>
    <row r="30" spans="2:3" x14ac:dyDescent="0.25">
      <c r="B30" s="27" t="s">
        <v>117</v>
      </c>
      <c r="C30" s="116">
        <f>(C28/C29)-1</f>
        <v>2.2408084415272698</v>
      </c>
    </row>
  </sheetData>
  <mergeCells count="4">
    <mergeCell ref="B1:I1"/>
    <mergeCell ref="B2:I2"/>
    <mergeCell ref="B4:I4"/>
    <mergeCell ref="B11:I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Historical PnL</vt:lpstr>
      <vt:lpstr>Historical BS</vt:lpstr>
      <vt:lpstr>Quarterly Data</vt:lpstr>
      <vt:lpstr>Comps Beta Table</vt:lpstr>
      <vt:lpstr>WACC </vt:lpstr>
      <vt:lpstr>DCF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Kanishk</cp:lastModifiedBy>
  <cp:revision>0</cp:revision>
  <dcterms:created xsi:type="dcterms:W3CDTF">2026-02-27T17:37:31Z</dcterms:created>
  <dcterms:modified xsi:type="dcterms:W3CDTF">2026-03-01T13:32:03Z</dcterms:modified>
  <dc:language>en-US</dc:language>
</cp:coreProperties>
</file>